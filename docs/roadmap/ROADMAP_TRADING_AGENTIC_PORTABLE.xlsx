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ecdf1e3a142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146e1cd24c58412e"/>
    <x:sheet xmlns:r="http://schemas.openxmlformats.org/officeDocument/2006/relationships" name="FASES" sheetId="2" r:id="R2d3ff3103b564163"/>
    <x:sheet xmlns:r="http://schemas.openxmlformats.org/officeDocument/2006/relationships" name="RFC_Y_WP" sheetId="3" r:id="R6da27da9bd9b4eac"/>
    <x:sheet xmlns:r="http://schemas.openxmlformats.org/officeDocument/2006/relationships" name="BLOQUEOS" sheetId="4" r:id="Rff0d5ce5b453448b"/>
    <x:sheet xmlns:r="http://schemas.openxmlformats.org/officeDocument/2006/relationships" name="DEPENDENCIAS" sheetId="5" r:id="R0680f05b634f418e"/>
    <x:sheet xmlns:r="http://schemas.openxmlformats.org/officeDocument/2006/relationships" name="EVIDENCIAS" sheetId="6" r:id="R8fcef66ce8ae4096"/>
    <x:sheet xmlns:r="http://schemas.openxmlformats.org/officeDocument/2006/relationships" name="HISTORIAL" sheetId="7" r:id="Rcbb2f1d072764147"/>
    <x:sheet xmlns:r="http://schemas.openxmlformats.org/officeDocument/2006/relationships" name="COMO_ACTUALIZAR" sheetId="8" r:id="R6c141424a8fe4ed6"/>
    <x:sheet xmlns:r="http://schemas.openxmlformats.org/officeDocument/2006/relationships" name="RESUMEN" sheetId="9" r:id="R31941b476338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.0000;[Red](#,##0.0000);-"/>
    <x:numFmt numFmtId="202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1F3952"/>
      <x:name val="Carlito"/>
    </x:font>
    <x:font>
      <x:b/>
      <x:sz val="10"/>
      <x:color rgb="FFFFFFFF"/>
      <x:name val="Carlito"/>
    </x:font>
    <x:font>
      <x:b/>
      <x:sz val="11"/>
      <x:color rgb="FF1F3952"/>
      <x:name val="Carlito"/>
    </x:font>
    <x:font>
      <x:sz val="11"/>
      <x:color rgb="FFAD5B00"/>
      <x:name val="Carlito"/>
    </x:font>
    <x:font>
      <x:b/>
      <x:sz val="19"/>
      <x:color rgb="FF1F3952"/>
      <x:name val="Carlito"/>
    </x:font>
    <x:font>
      <x:b/>
      <x:sz val="12"/>
      <x:color rgb="FFFFFFFF"/>
      <x:name val="Carlito"/>
    </x:font>
    <x:font>
      <x:b/>
      <x:sz val="11"/>
      <x:color rgb="FF007E87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2243A"/>
      </x:patternFill>
    </x:fill>
    <x:fill>
      <x:patternFill patternType="solid">
        <x:fgColor rgb="FFDBF3F4"/>
      </x:patternFill>
    </x:fill>
    <x:fill>
      <x:patternFill patternType="solid">
        <x:fgColor rgb="FFF2F6FA"/>
      </x:patternFill>
    </x:fill>
    <x:fill>
      <x:patternFill patternType="solid">
        <x:fgColor rgb="FF1F3952"/>
      </x:patternFill>
    </x:fill>
    <x:fill>
      <x:patternFill patternType="solid">
        <x:fgColor rgb="FFDCF4E7"/>
      </x:patternFill>
    </x:fill>
    <x:fill>
      <x:patternFill patternType="solid">
        <x:fgColor rgb="FFD3ECEB"/>
      </x:patternFill>
    </x:fill>
    <x:fill>
      <x:patternFill patternType="solid">
        <x:fgColor rgb="FFDDF0FF"/>
      </x:patternFill>
    </x:fill>
    <x:fill>
      <x:patternFill patternType="solid">
        <x:fgColor rgb="FFFFF1D9"/>
      </x:patternFill>
    </x:fill>
    <x:fill>
      <x:patternFill patternType="solid">
        <x:fgColor rgb="FFE8EDF4"/>
      </x:patternFill>
    </x:fill>
    <x:fill>
      <x:patternFill patternType="solid">
        <x:fgColor rgb="FFEFE7FF"/>
      </x:patternFill>
    </x:fill>
    <x:fill>
      <x:patternFill patternType="solid">
        <x:fgColor rgb="FFFFE3E4"/>
      </x:patternFill>
    </x:fill>
    <x:fill>
      <x:patternFill patternType="solid">
        <x:fgColor rgb="FFFAD1D1"/>
      </x:patternFill>
    </x:fill>
    <x:fill>
      <x:patternFill patternType="solid">
        <x:fgColor rgb="FFF0F5FA"/>
      </x:patternFill>
    </x:fill>
  </x:fills>
  <x:borders count="2"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0" fillId="13" borderId="0" xfId="0" applyNumberFormat="1" applyFont="1" applyFill="1" applyBorder="1"/>
    <x:xf numFmtId="0" fontId="0" fillId="13" borderId="1" xfId="0" applyNumberFormat="1" applyFont="1" applyFill="1" applyBorder="1"/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9">
    <x:dxf>
      <x:fill>
        <x:patternFill>
          <x:bgColor rgb="FFDCF4E7"/>
        </x:patternFill>
      </x:fill>
    </x:dxf>
    <x:dxf>
      <x:fill>
        <x:patternFill>
          <x:bgColor rgb="FFD3ECEB"/>
        </x:patternFill>
      </x:fill>
    </x:dxf>
    <x:dxf>
      <x:fill>
        <x:patternFill>
          <x:bgColor rgb="FFDDF0FF"/>
        </x:patternFill>
      </x:fill>
    </x:dxf>
    <x:dxf>
      <x:fill>
        <x:patternFill>
          <x:bgColor rgb="FFFFF1D9"/>
        </x:patternFill>
      </x:fill>
    </x:dxf>
    <x:dxf>
      <x:fill>
        <x:patternFill>
          <x:bgColor rgb="FFE8EDF4"/>
        </x:patternFill>
      </x:fill>
    </x:dxf>
    <x:dxf>
      <x:fill>
        <x:patternFill>
          <x:bgColor rgb="FFEFE7FF"/>
        </x:patternFill>
      </x:fill>
    </x:dxf>
    <x:dxf>
      <x:fill>
        <x:patternFill>
          <x:bgColor rgb="FFFFE3E4"/>
        </x:patternFill>
      </x:fill>
    </x:dxf>
    <x:dxf>
      <x:fill>
        <x:patternFill>
          <x:bgColor rgb="FFFAD1D1"/>
        </x:patternFill>
      </x:fill>
    </x:dxf>
    <x:dxf>
      <x:fill>
        <x:patternFill>
          <x:bgColor rgb="FFEAEDF0"/>
        </x:patternFill>
      </x:fill>
    </x:dxf>
    <x:dxf>
      <x:fill>
        <x:patternFill>
          <x:bgColor rgb="FFDCF4E7"/>
        </x:patternFill>
      </x:fill>
    </x:dxf>
    <x:dxf>
      <x:fill>
        <x:patternFill>
          <x:bgColor rgb="FFD3ECEB"/>
        </x:patternFill>
      </x:fill>
    </x:dxf>
    <x:dxf>
      <x:fill>
        <x:patternFill>
          <x:bgColor rgb="FFDDF0FF"/>
        </x:patternFill>
      </x:fill>
    </x:dxf>
    <x:dxf>
      <x:fill>
        <x:patternFill>
          <x:bgColor rgb="FFFFF1D9"/>
        </x:patternFill>
      </x:fill>
    </x:dxf>
    <x:dxf>
      <x:fill>
        <x:patternFill>
          <x:bgColor rgb="FFE8EDF4"/>
        </x:patternFill>
      </x:fill>
    </x:dxf>
    <x:dxf>
      <x:fill>
        <x:patternFill>
          <x:bgColor rgb="FFEFE7FF"/>
        </x:patternFill>
      </x:fill>
    </x:dxf>
    <x:dxf>
      <x:fill>
        <x:patternFill>
          <x:bgColor rgb="FFFFE3E4"/>
        </x:patternFill>
      </x:fill>
    </x:dxf>
    <x:dxf>
      <x:fill>
        <x:patternFill>
          <x:bgColor rgb="FFFAD1D1"/>
        </x:patternFill>
      </x:fill>
    </x:dxf>
    <x:dxf>
      <x:fill>
        <x:patternFill>
          <x:bgColor rgb="FFEAEDF0"/>
        </x:patternFill>
      </x:fill>
    </x:dxf>
    <x:dxf>
      <x:fill>
        <x:patternFill>
          <x:bgColor rgb="FFDCF4E7"/>
        </x:patternFill>
      </x:fill>
    </x:dxf>
    <x:dxf>
      <x:fill>
        <x:patternFill>
          <x:bgColor rgb="FFD3ECEB"/>
        </x:patternFill>
      </x:fill>
    </x:dxf>
    <x:dxf>
      <x:fill>
        <x:patternFill>
          <x:bgColor rgb="FFDDF0FF"/>
        </x:patternFill>
      </x:fill>
    </x:dxf>
    <x:dxf>
      <x:fill>
        <x:patternFill>
          <x:bgColor rgb="FFFFF1D9"/>
        </x:patternFill>
      </x:fill>
    </x:dxf>
    <x:dxf>
      <x:fill>
        <x:patternFill>
          <x:bgColor rgb="FFE8EDF4"/>
        </x:patternFill>
      </x:fill>
    </x:dxf>
    <x:dxf>
      <x:fill>
        <x:patternFill>
          <x:bgColor rgb="FFEFE7FF"/>
        </x:patternFill>
      </x:fill>
    </x:dxf>
    <x:dxf>
      <x:fill>
        <x:patternFill>
          <x:bgColor rgb="FFFFE3E4"/>
        </x:patternFill>
      </x:fill>
    </x:dxf>
    <x:dxf>
      <x:fill>
        <x:patternFill>
          <x:bgColor rgb="FFFAD1D1"/>
        </x:patternFill>
      </x:fill>
    </x:dxf>
    <x:dxf>
      <x:fill>
        <x:patternFill>
          <x:bgColor rgb="FFEAEDF0"/>
        </x:patternFill>
      </x:fill>
    </x:dxf>
    <x:dxf>
      <x:fill>
        <x:patternFill>
          <x:bgColor rgb="FFFFE3E4"/>
        </x:patternFill>
      </x:fill>
    </x:dxf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f46c323c54a66" /><Relationship Type="http://schemas.openxmlformats.org/officeDocument/2006/relationships/theme" Target="/xl/theme/theme1.xml" Id="R1c39f96684fb4700" /><Relationship Type="http://schemas.openxmlformats.org/officeDocument/2006/relationships/sharedStrings" Target="/xl/sharedStrings.xml" Id="R6e2d3d64909b4a12" /><Relationship Type="http://schemas.openxmlformats.org/officeDocument/2006/relationships/worksheet" Target="/xl/worksheets/sheet1.xml" Id="R146e1cd24c58412e" /><Relationship Type="http://schemas.openxmlformats.org/officeDocument/2006/relationships/worksheet" Target="/xl/worksheets/sheet2.xml" Id="R2d3ff3103b564163" /><Relationship Type="http://schemas.openxmlformats.org/officeDocument/2006/relationships/worksheet" Target="/xl/worksheets/sheet3.xml" Id="R6da27da9bd9b4eac" /><Relationship Type="http://schemas.openxmlformats.org/officeDocument/2006/relationships/worksheet" Target="/xl/worksheets/sheet4.xml" Id="Rff0d5ce5b453448b" /><Relationship Type="http://schemas.openxmlformats.org/officeDocument/2006/relationships/worksheet" Target="/xl/worksheets/sheet5.xml" Id="R0680f05b634f418e" /><Relationship Type="http://schemas.openxmlformats.org/officeDocument/2006/relationships/worksheet" Target="/xl/worksheets/sheet6.xml" Id="R8fcef66ce8ae4096" /><Relationship Type="http://schemas.openxmlformats.org/officeDocument/2006/relationships/worksheet" Target="/xl/worksheets/sheet7.xml" Id="Rcbb2f1d072764147" /><Relationship Type="http://schemas.openxmlformats.org/officeDocument/2006/relationships/worksheet" Target="/xl/worksheets/sheet8.xml" Id="R6c141424a8fe4ed6" /><Relationship Type="http://schemas.openxmlformats.org/officeDocument/2006/relationships/worksheet" Target="/xl/worksheets/sheet9.xml" Id="R31941b47633847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f11a02e2104f2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Items por estado (sin inferir certificación)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'RESUMEN'!$K$11:$K$18</c:f>
              <c:strCache>
                <c:ptCount val="0"/>
              </c:strCache>
            </c:strRef>
          </c:cat>
          <c:val>
            <c:numRef>
              <c:f>'RESUMEN'!$L$11:$L$18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f11a02e2104f2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admapMasterTable" displayName="RoadmapMasterTable" ref="A5:U66" headerRowCount="1" totalsRowCount="0" totalsRowShown="0">
  <x:tableColumns count="21">
    <x:tableColumn id="1" name="ID"/>
    <x:tableColumn id="2" name="Frente / línea"/>
    <x:tableColumn id="3" name="Fase VNext"/>
    <x:tableColumn id="4" name="RFC / WP"/>
    <x:tableColumn id="5" name="Actividad o entregable"/>
    <x:tableColumn id="6" name="Estado real"/>
    <x:tableColumn id="7" name="Prio"/>
    <x:tableColumn id="8" name="Avance ejec."/>
    <x:tableColumn id="9" name="Orden"/>
    <x:tableColumn id="10" name="Depende de"/>
    <x:tableColumn id="11" name="Criterio aceptación / evidencia"/>
    <x:tableColumn id="12" name="Commit / artefacto"/>
    <x:tableColumn id="13" name="URL fuente"/>
    <x:tableColumn id="14" name="Responsable"/>
    <x:tableColumn id="15" name="Inicio"/>
    <x:tableColumn id="16" name="Fecha objetivo"/>
    <x:tableColumn id="17" name="Últ. actualización"/>
    <x:tableColumn id="18" name="Próxima acción"/>
    <x:tableColumn id="19" name="Bloqueo / causa"/>
    <x:tableColumn id="20" name="Tipo evidencia"/>
    <x:tableColumn id="21" name="Notas / limit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sesVNextTable" displayName="FasesVNextTable" ref="A5:F21" headerRowCount="1" totalsRowCount="0" totalsRowShown="0">
  <x:tableColumns count="6">
    <x:tableColumn id="1" name="Fase"/>
    <x:tableColumn id="2" name="Estado"/>
    <x:tableColumn id="3" name="Resultado / límite"/>
    <x:tableColumn id="4" name="Fuente"/>
    <x:tableColumn id="5" name="Gate"/>
    <x:tableColumn id="6" name="Actualiza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FCWorkPackagesTable" displayName="RFCWorkPackagesTable" ref="A5:H19" headerRowCount="1" totalsRowCount="0" totalsRowShown="0">
  <x:tableColumns count="8">
    <x:tableColumn id="1" name="RFC / WP"/>
    <x:tableColumn id="2" name="Área"/>
    <x:tableColumn id="3" name="Estado"/>
    <x:tableColumn id="4" name="Resultado y limitación"/>
    <x:tableColumn id="5" name="Commit / evidencia"/>
    <x:tableColumn id="6" name="IDs del roadmap"/>
    <x:tableColumn id="7" name="Enlace GitHub"/>
    <x:tableColumn id="8" name="Actualiza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lockedItemsTable" displayName="BlockedItemsTable" ref="A5:J19" headerRowCount="1" totalsRowCount="0" totalsRowShown="0">
  <x:tableColumns count="10">
    <x:tableColumn id="1" name="ID"/>
    <x:tableColumn id="2" name="Prio"/>
    <x:tableColumn id="3" name="Impacto"/>
    <x:tableColumn id="4" name="Bloqueo"/>
    <x:tableColumn id="5" name="Frente"/>
    <x:tableColumn id="6" name="Items afectados"/>
    <x:tableColumn id="7" name="Código"/>
    <x:tableColumn id="8" name="Evidencia / lectura"/>
    <x:tableColumn id="9" name="Siguiente desbloqueo"/>
    <x:tableColumn id="10" name="Est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pendenciesTable" displayName="DependenciesTable" ref="A5:D25" headerRowCount="1" totalsRowCount="0" totalsRowShown="0">
  <x:tableColumns count="4">
    <x:tableColumn id="1" name="Item dependiente"/>
    <x:tableColumn id="2" name="Requisito"/>
    <x:tableColumn id="3" name="Tipo"/>
    <x:tableColumn id="4" name="Por qué bloquea / impide falso éxit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RegisterTable" displayName="EvidenceRegisterTable" ref="A5:K21" headerRowCount="1" totalsRowCount="0" totalsRowShown="0">
  <x:tableColumns count="11">
    <x:tableColumn id="1" name="ID"/>
    <x:tableColumn id="2" name="Fecha"/>
    <x:tableColumn id="3" name="WP"/>
    <x:tableColumn id="4" name="Clase"/>
    <x:tableColumn id="5" name="Nombre / dataset"/>
    <x:tableColumn id="6" name="Commit"/>
    <x:tableColumn id="7" name="Nº"/>
    <x:tableColumn id="8" name="Resultado 2"/>
    <x:tableColumn id="9" name="Unidad"/>
    <x:tableColumn id="10" name="Lectura rigurosa"/>
    <x:tableColumn id="11" name="URL fuen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oadmapHistoryTable" displayName="RoadmapHistoryTable" ref="A5:G12" headerRowCount="1" totalsRowCount="0" totalsRowShown="0">
  <x:tableColumns count="7">
    <x:tableColumn id="1" name="Fecha"/>
    <x:tableColumn id="2" name="ID / línea"/>
    <x:tableColumn id="3" name="Tipo cambio"/>
    <x:tableColumn id="4" name="Qué cambió"/>
    <x:tableColumn id="5" name="Editor"/>
    <x:tableColumn id="6" name="Evidencia / commit"/>
    <x:tableColumn id="7" name="Vers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87323a529842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32b6d884fb47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d4f83b78b748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1094e64e5cd44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2e9fe503d854b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2feb76d452f42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25a67fad6964a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8e5d71891d0f4acf" /></Relationships>
</file>

<file path=xl/worksheets/sheet1.xml><?xml version="1.0" encoding="utf-8"?>
<x:worksheet xmlns:x="http://schemas.openxmlformats.org/spreadsheetml/2006/main">
  <x:sheetViews>
    <x:sheetView workbookViewId="0">
      <x:pane xSplit="4" ySplit="5" topLeftCell="E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2" hidden="0" customWidth="1"/>
    <x:col min="4" max="4" width="24" hidden="0" customWidth="1"/>
    <x:col min="5" max="5" width="44" hidden="0" customWidth="1"/>
    <x:col min="6" max="6" width="21" hidden="0" customWidth="1"/>
    <x:col min="7" max="7" width="10" hidden="0" customWidth="1"/>
    <x:col min="8" max="8" width="14" hidden="0" customWidth="1"/>
    <x:col min="9" max="9" width="10" hidden="0" customWidth="1"/>
    <x:col min="10" max="10" width="24" hidden="0" customWidth="1"/>
    <x:col min="11" max="11" width="45" hidden="0" customWidth="1"/>
    <x:col min="12" max="12" width="30" hidden="0" customWidth="1"/>
    <x:col min="13" max="13" width="42" hidden="0" customWidth="1"/>
    <x:col min="14" max="14" width="20" hidden="0" customWidth="1"/>
    <x:col min="15" max="15" width="14" hidden="0" customWidth="1"/>
    <x:col min="16" max="16" width="16" hidden="0" customWidth="1"/>
    <x:col min="17" max="17" width="19" hidden="0" customWidth="1"/>
    <x:col min="18" max="18" width="50" hidden="0" customWidth="1"/>
    <x:col min="19" max="19" width="44" hidden="0" customWidth="1"/>
    <x:col min="20" max="20" width="24" hidden="0" customWidth="1"/>
    <x:col min="21" max="21" width="54" hidden="0" customWidth="1"/>
  </x:cols>
  <x:sheetData>
    <x:row r="1" ht="26" customHeight="1">
      <x:c r="A1" s="4" t="str">
        <x:v>ROADMAP MAESTRO | 71 entregables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 ht="24" customHeight="1">
      <x:c r="A3" s="10" t="str">
        <x:v>18 oct 2026 · v1.4 · RFC-TAP-MARKET-005 · data incremental + IA event-driven; P0 auditar origen de fetches.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</x:row>
    <x:row r="4" ht="9" customHeight="1"/>
    <x:row r="5" ht="34" customHeight="1">
      <x:c r="A5" s="16" t="str">
        <x:v>ID</x:v>
      </x:c>
      <x:c r="B5" s="16" t="str">
        <x:v>Frente / línea</x:v>
      </x:c>
      <x:c r="C5" s="16" t="str">
        <x:v>Fase VNext</x:v>
      </x:c>
      <x:c r="D5" s="16" t="str">
        <x:v>RFC / WP</x:v>
      </x:c>
      <x:c r="E5" s="16" t="str">
        <x:v>Actividad o entregable</x:v>
      </x:c>
      <x:c r="F5" s="16" t="str">
        <x:v>Estado real</x:v>
      </x:c>
      <x:c r="G5" s="16" t="str">
        <x:v>Prio</x:v>
      </x:c>
      <x:c r="H5" s="16" t="str">
        <x:v>Avance ejec.</x:v>
      </x:c>
      <x:c r="I5" s="16" t="str">
        <x:v>Orden</x:v>
      </x:c>
      <x:c r="J5" s="16" t="str">
        <x:v>Depende de</x:v>
      </x:c>
      <x:c r="K5" s="16" t="str">
        <x:v>Criterio aceptación / evidencia</x:v>
      </x:c>
      <x:c r="L5" s="16" t="str">
        <x:v>Commit / artefacto</x:v>
      </x:c>
      <x:c r="M5" s="16" t="str">
        <x:v>URL fuente</x:v>
      </x:c>
      <x:c r="N5" s="16" t="str">
        <x:v>Responsable</x:v>
      </x:c>
      <x:c r="O5" s="16" t="str">
        <x:v>Inicio</x:v>
      </x:c>
      <x:c r="P5" s="16" t="str">
        <x:v>Fecha objetivo</x:v>
      </x:c>
      <x:c r="Q5" s="16" t="str">
        <x:v>Últ. actualización</x:v>
      </x:c>
      <x:c r="R5" s="16" t="str">
        <x:v>Próxima acción</x:v>
      </x:c>
      <x:c r="S5" s="16" t="str">
        <x:v>Bloqueo / causa</x:v>
      </x:c>
      <x:c r="T5" s="16" t="str">
        <x:v>Tipo evidencia</x:v>
      </x:c>
      <x:c r="U5" s="16" t="str">
        <x:v>Notas / limitaciones</x:v>
      </x:c>
    </x:row>
    <x:row r="6" ht="31" customHeight="1">
      <x:c r="A6" s="26" t="str">
        <x:v>TAP-001</x:v>
      </x:c>
      <x:c r="B6" s="22" t="str">
        <x:v>Auditoría &amp; gobernanza</x:v>
      </x:c>
      <x:c r="C6" s="22" t="str">
        <x:v>00 Auditoría</x:v>
      </x:c>
      <x:c r="D6" s="22" t="str">
        <x:v>WP-EDGE-00</x:v>
      </x:c>
      <x:c r="E6" s="22" t="str">
        <x:v>Establecer branch/worktree/baseline autoritativo del runtime económico</x:v>
      </x:c>
      <x:c r="F6" s="22" t="str">
        <x:v>IMPLEMENTADO</x:v>
      </x:c>
      <x:c r="G6" s="22" t="str">
        <x:v>P0</x:v>
      </x:c>
      <x:c r="H6" s="24" t="n">
        <x:v>1</x:v>
      </x:c>
      <x:c r="I6" s="22" t="n">
        <x:v>1</x:v>
      </x:c>
      <x:c r="J6" s="22" t="str"/>
      <x:c r="K6" s="22" t="str">
        <x:v>Reporte publicado; mapa total de main no recertificado</x:v>
      </x:c>
      <x:c r="L6" s="22" t="str">
        <x:v>b17644a / WP-EDGE-00</x:v>
      </x:c>
      <x:c r="M6" s="22" t="str">
        <x:v>https://github.com/Extr3sao/bot_crypto/tree/agent/edge-recovery/WP-EDGE-00-baseline</x:v>
      </x:c>
      <x:c r="N6" s="22" t="str">
        <x:v>Codex</x:v>
      </x:c>
      <x:c r="O6" s="22" t="str"/>
      <x:c r="P6" s="22" t="str"/>
      <x:c r="Q6" s="22" t="str">
        <x:v>2026-10-18</x:v>
      </x:c>
      <x:c r="R6" s="28" t="str"/>
      <x:c r="S6" s="28" t="str"/>
      <x:c r="T6" s="22" t="str">
        <x:v>REPO_REPORT</x:v>
      </x:c>
      <x:c r="U6" s="22" t="str">
        <x:v>Cerrado sobre rama económica; NO equivale a que main esté integrado.</x:v>
      </x:c>
    </x:row>
    <x:row r="7" ht="31" customHeight="1">
      <x:c r="A7" s="26" t="str">
        <x:v>TAP-002</x:v>
      </x:c>
      <x:c r="B7" s="22" t="str">
        <x:v>Auditoría &amp; gobernanza</x:v>
      </x:c>
      <x:c r="C7" s="22" t="str">
        <x:v>00 Auditoría</x:v>
      </x:c>
      <x:c r="D7" s="22" t="str">
        <x:v>WP-EDGE-017F</x:v>
      </x:c>
      <x:c r="E7" s="22" t="str">
        <x:v>Corregir ventana semanal UTC en RiskManager + restore</x:v>
      </x:c>
      <x:c r="F7" s="22" t="str">
        <x:v>VERIFICADO_FOCAL</x:v>
      </x:c>
      <x:c r="G7" s="22" t="str">
        <x:v>P0</x:v>
      </x:c>
      <x:c r="H7" s="24" t="n">
        <x:v>1</x:v>
      </x:c>
      <x:c r="I7" s="22" t="n">
        <x:v>2</x:v>
      </x:c>
      <x:c r="J7" s="22" t="str">
        <x:v>TAP-001</x:v>
      </x:c>
      <x:c r="K7" s="22" t="str">
        <x:v>roll_week y 14 tests semanales; sin cambio límites</x:v>
      </x:c>
      <x:c r="L7" s="22" t="str">
        <x:v>b17644a / FINAL_REPORT EDGE-017</x:v>
      </x:c>
      <x:c r="M7" s="22" t="str">
        <x:v>https://github.com/Extr3sao/bot_crypto/blob/agent/edge-recovery/WP-EDGE-00-baseline/reports/economic-recovery/RFC-EDGE-017/FINAL_REPORT.md</x:v>
      </x:c>
      <x:c r="N7" s="22" t="str">
        <x:v>Codex</x:v>
      </x:c>
      <x:c r="O7" s="22" t="str"/>
      <x:c r="P7" s="22" t="str"/>
      <x:c r="Q7" s="22" t="str">
        <x:v>2026-10-18</x:v>
      </x:c>
      <x:c r="R7" s="28" t="str"/>
      <x:c r="S7" s="28" t="str"/>
      <x:c r="T7" s="22" t="str">
        <x:v>REPO_REPORT</x:v>
      </x:c>
      <x:c r="U7" s="22" t="str"/>
    </x:row>
    <x:row r="8" ht="31" customHeight="1">
      <x:c r="A8" s="26" t="str">
        <x:v>TAP-003</x:v>
      </x:c>
      <x:c r="B8" s="22" t="str">
        <x:v>Auditoría &amp; gobernanza</x:v>
      </x:c>
      <x:c r="C8" s="22" t="str">
        <x:v>00 Auditoría</x:v>
      </x:c>
      <x:c r="D8" s="22" t="str">
        <x:v>WP-EDGE-017F</x:v>
      </x:c>
      <x:c r="E8" s="22" t="str">
        <x:v>DD de curva MTM y riesgo neto 1×/2×/3×</x:v>
      </x:c>
      <x:c r="F8" s="22" t="str">
        <x:v>VERIFICADO_FOCAL</x:v>
      </x:c>
      <x:c r="G8" s="22" t="str">
        <x:v>P0</x:v>
      </x:c>
      <x:c r="H8" s="24" t="n">
        <x:v>1</x:v>
      </x:c>
      <x:c r="I8" s="22" t="n">
        <x:v>3</x:v>
      </x:c>
      <x:c r="J8" s="22" t="str">
        <x:v>TAP-002</x:v>
      </x:c>
      <x:c r="K8" s="22" t="str">
        <x:v>31/31 checks y 14/14 fallos; pérdidas verificadas</x:v>
      </x:c>
      <x:c r="L8" s="22" t="str">
        <x:v>b17644a / NET_RISK_REPLAY.json</x:v>
      </x:c>
      <x:c r="M8" s="22" t="str">
        <x:v>https://github.com/Extr3sao/bot_crypto/blob/agent/edge-recovery/WP-EDGE-00-baseline/reports/economic-recovery/RFC-EDGE-017/NET_RISK_REPLAY.json</x:v>
      </x:c>
      <x:c r="N8" s="22" t="str">
        <x:v>Codex</x:v>
      </x:c>
      <x:c r="O8" s="22" t="str"/>
      <x:c r="P8" s="22" t="str"/>
      <x:c r="Q8" s="22" t="str">
        <x:v>2026-10-18</x:v>
      </x:c>
      <x:c r="R8" s="28" t="str"/>
      <x:c r="S8" s="28" t="str"/>
      <x:c r="T8" s="22" t="str">
        <x:v>REPO_REPORT</x:v>
      </x:c>
      <x:c r="U8" s="22" t="str"/>
    </x:row>
    <x:row r="9" ht="31" customHeight="1">
      <x:c r="A9" s="26" t="str">
        <x:v>TAP-004</x:v>
      </x:c>
      <x:c r="B9" s="22" t="str">
        <x:v>Evidencia &amp; reporting</x:v>
      </x:c>
      <x:c r="C9" s="22" t="str">
        <x:v>12 Observabilidad</x:v>
      </x:c>
      <x:c r="D9" s="22" t="str">
        <x:v>TAP-EVIDENCE-004</x:v>
      </x:c>
      <x:c r="E9" s="22" t="str">
        <x:v>Ledger canónico REA y diferenciación exit vs ejecutado</x:v>
      </x:c>
      <x:c r="F9" s="22" t="str">
        <x:v>VERIFICADO_FOCAL</x:v>
      </x:c>
      <x:c r="G9" s="22" t="str">
        <x:v>P0</x:v>
      </x:c>
      <x:c r="H9" s="24" t="n">
        <x:v>1</x:v>
      </x:c>
      <x:c r="I9" s="22" t="n">
        <x:v>4</x:v>
      </x:c>
      <x:c r="J9" s="22" t="str">
        <x:v>TAP-001</x:v>
      </x:c>
      <x:c r="K9" s="22" t="str">
        <x:v>7 ID registrados; 2 NO ejecutadas; 2/7 archivos verificados</x:v>
      </x:c>
      <x:c r="L9" s="22" t="str">
        <x:v>243ba12 / CANONICAL_RUN.json</x:v>
      </x:c>
      <x:c r="M9" s="22" t="str">
        <x:v>https://github.com/Extr3sao/bot_crypto/tree/agent/evidence/RFC-TAP-EVIDENCE-004/reports/ai-bots/RFC-AI-BOTS-002/evidence-004</x:v>
      </x:c>
      <x:c r="N9" s="22" t="str">
        <x:v>Codex</x:v>
      </x:c>
      <x:c r="O9" s="22" t="str"/>
      <x:c r="P9" s="22" t="str"/>
      <x:c r="Q9" s="22" t="str">
        <x:v>2026-10-18</x:v>
      </x:c>
      <x:c r="R9" s="28" t="str"/>
      <x:c r="S9" s="28" t="str"/>
      <x:c r="T9" s="22" t="str">
        <x:v>REPO_REPORT</x:v>
      </x:c>
      <x:c r="U9" s="22" t="str">
        <x:v>Conservar documentos antiguos superseded.</x:v>
      </x:c>
    </x:row>
    <x:row r="10" ht="31" customHeight="1">
      <x:c r="A10" s="26" t="str">
        <x:v>TAP-005</x:v>
      </x:c>
      <x:c r="B10" s="22" t="str">
        <x:v>Evidencia &amp; reporting</x:v>
      </x:c>
      <x:c r="C10" s="22" t="str">
        <x:v>12 Observabilidad</x:v>
      </x:c>
      <x:c r="D10" s="22" t="str">
        <x:v>EVIDENCE-004F</x:v>
      </x:c>
      <x:c r="E10" s="22" t="str">
        <x:v>Normalización LF/CRLF; source spans no vacuos; hashes tipados</x:v>
      </x:c>
      <x:c r="F10" s="22" t="str">
        <x:v>VERIFICADO_FOCAL</x:v>
      </x:c>
      <x:c r="G10" s="22" t="str">
        <x:v>P0</x:v>
      </x:c>
      <x:c r="H10" s="24" t="n">
        <x:v>1</x:v>
      </x:c>
      <x:c r="I10" s="22" t="n">
        <x:v>5</x:v>
      </x:c>
      <x:c r="J10" s="22" t="str">
        <x:v>TAP-004</x:v>
      </x:c>
      <x:c r="K10" s="22" t="str">
        <x:v>42/42 checks y 18/18 mutaciones según informe</x:v>
      </x:c>
      <x:c r="L10" s="22" t="str">
        <x:v>b7e100a / VERIFICATION.json</x:v>
      </x:c>
      <x:c r="M10" s="22" t="str">
        <x:v>https://github.com/Extr3sao/bot_crypto/blob/agent/evidence/RFC-TAP-EVIDENCE-004/reports/ai-bots/RFC-AI-BOTS-002/evidence-004/VERIFICATION.json</x:v>
      </x:c>
      <x:c r="N10" s="22" t="str">
        <x:v>Codex</x:v>
      </x:c>
      <x:c r="O10" s="22" t="str"/>
      <x:c r="P10" s="22" t="str"/>
      <x:c r="Q10" s="22" t="str">
        <x:v>2026-10-18</x:v>
      </x:c>
      <x:c r="R10" s="28" t="str"/>
      <x:c r="S10" s="28" t="str"/>
      <x:c r="T10" s="22" t="str">
        <x:v>REPO_REPORT</x:v>
      </x:c>
      <x:c r="U10" s="22" t="str"/>
    </x:row>
    <x:row r="11" ht="31" customHeight="1">
      <x:c r="A11" s="26" t="str">
        <x:v>TAP-006</x:v>
      </x:c>
      <x:c r="B11" s="22" t="str">
        <x:v>Evidencia &amp; reporting</x:v>
      </x:c>
      <x:c r="C11" s="22" t="str">
        <x:v>12 Observabilidad</x:v>
      </x:c>
      <x:c r="D11" s="22" t="str">
        <x:v>EVIDENCE-004F</x:v>
      </x:c>
      <x:c r="E11" s="22" t="str">
        <x:v>Generación atómica + supresión de informes antiguos con manifiesto</x:v>
      </x:c>
      <x:c r="F11" s="22" t="str">
        <x:v>VERIFICADO_FOCAL</x:v>
      </x:c>
      <x:c r="G11" s="22" t="str">
        <x:v>P0</x:v>
      </x:c>
      <x:c r="H11" s="24" t="n">
        <x:v>1</x:v>
      </x:c>
      <x:c r="I11" s="22" t="n">
        <x:v>6</x:v>
      </x:c>
      <x:c r="J11" s="22" t="str">
        <x:v>TAP-004</x:v>
      </x:c>
      <x:c r="K11" s="22" t="str">
        <x:v>Dos raíces LF/CRLF; claims derivados</x:v>
      </x:c>
      <x:c r="L11" s="22" t="str">
        <x:v>b7e100a / FINAL_REPORT.md</x:v>
      </x:c>
      <x:c r="M11" s="22" t="str">
        <x:v>https://github.com/Extr3sao/bot_crypto/blob/agent/evidence/RFC-TAP-EVIDENCE-004/reports/ai-bots/RFC-AI-BOTS-002/evidence-004/FINAL_REPORT.md</x:v>
      </x:c>
      <x:c r="N11" s="22" t="str">
        <x:v>Codex</x:v>
      </x:c>
      <x:c r="O11" s="22" t="str"/>
      <x:c r="P11" s="22" t="str"/>
      <x:c r="Q11" s="22" t="str">
        <x:v>2026-10-18</x:v>
      </x:c>
      <x:c r="R11" s="28" t="str"/>
      <x:c r="S11" s="28" t="str"/>
      <x:c r="T11" s="22" t="str">
        <x:v>REPO_REPORT</x:v>
      </x:c>
      <x:c r="U11" s="22" t="str"/>
    </x:row>
    <x:row r="12" ht="31" customHeight="1">
      <x:c r="A12" s="26" t="str">
        <x:v>TAP-007</x:v>
      </x:c>
      <x:c r="B12" s="22" t="str">
        <x:v>Evidencia &amp; reporting</x:v>
      </x:c>
      <x:c r="C12" s="22" t="str">
        <x:v>12 Observabilidad</x:v>
      </x:c>
      <x:c r="D12" s="22" t="str">
        <x:v>EVIDENCE-004</x:v>
      </x:c>
      <x:c r="E12" s="22" t="str">
        <x:v>Verificación CI limpia del reporte global y check de todos los informes futuros</x:v>
      </x:c>
      <x:c r="F12" s="22" t="str">
        <x:v>PENDIENTE</x:v>
      </x:c>
      <x:c r="G12" s="22" t="str">
        <x:v>P0</x:v>
      </x:c>
      <x:c r="H12" s="24" t="n">
        <x:v>0.15</x:v>
      </x:c>
      <x:c r="I12" s="22" t="n">
        <x:v>14</x:v>
      </x:c>
      <x:c r="J12" s="22" t="str">
        <x:v>TAP-005; TAP-006</x:v>
      </x:c>
      <x:c r="K12" s="22" t="str">
        <x:v>No publicar GLOBAL_PASS hasta suite reproducible</x:v>
      </x:c>
      <x:c r="L12" s="22" t="str">
        <x:v>Issue #13</x:v>
      </x:c>
      <x:c r="M12" s="22" t="str">
        <x:v>https://github.com/Extr3sao/bot_crypto/issues/13</x:v>
      </x:c>
      <x:c r="N12" s="22" t="str">
        <x:v>Codex</x:v>
      </x:c>
      <x:c r="O12" s="22" t="str"/>
      <x:c r="P12" s="22" t="str"/>
      <x:c r="Q12" s="22" t="str">
        <x:v>2026-10-18</x:v>
      </x:c>
      <x:c r="R12" s="28" t="str">
        <x:v>Crear gate CI de informes en checkout limpio; no sobrescribir pruebas ajenas.</x:v>
      </x:c>
      <x:c r="S12" s="28" t="str">
        <x:v>Suite global no certificada en la rama AI.</x:v>
      </x:c>
      <x:c r="T12" s="22" t="str">
        <x:v>REPO_REPORT</x:v>
      </x:c>
      <x:c r="U12" s="22" t="str"/>
    </x:row>
    <x:row r="13" ht="31" customHeight="1">
      <x:c r="A13" s="26" t="str">
        <x:v>TAP-008</x:v>
      </x:c>
      <x:c r="B13" s="22" t="str">
        <x:v>Investigación externa</x:v>
      </x:c>
      <x:c r="C13" s="22" t="str">
        <x:v>01 Research</x:v>
      </x:c>
      <x:c r="D13" s="22" t="str">
        <x:v>AI-BOTS-002 REA v3</x:v>
      </x:c>
      <x:c r="E13" s="22" t="str">
        <x:v>Ejecutar REA sobre JS/web originales: nof1, Semantic Signal, FenixAI</x:v>
      </x:c>
      <x:c r="F13" s="22" t="str">
        <x:v>VERIFICADO_FOCAL</x:v>
      </x:c>
      <x:c r="G13" s="22" t="str">
        <x:v>P1</x:v>
      </x:c>
      <x:c r="H13" s="24" t="n">
        <x:v>1</x:v>
      </x:c>
      <x:c r="I13" s="22" t="n">
        <x:v>5</x:v>
      </x:c>
      <x:c r="J13" s="22" t="str">
        <x:v>TAP-001</x:v>
      </x:c>
      <x:c r="K13" s="22" t="str">
        <x:v>REA real con evidence_id; solo prueba superficies JS/web</x:v>
      </x:c>
      <x:c r="L13" s="22" t="str">
        <x:v>6403c71 / dossier REA</x:v>
      </x:c>
      <x:c r="M13" s="22" t="str">
        <x:v>https://github.com/Extr3sao/bot_crypto/tree/agent/ai-vision/RFC-AI-VISION-001/reports/ai-bots/RFC-AI-BOTS-002/rea</x:v>
      </x:c>
      <x:c r="N13" s="22" t="str">
        <x:v>Codex</x:v>
      </x:c>
      <x:c r="O13" s="22" t="str"/>
      <x:c r="P13" s="22" t="str"/>
      <x:c r="Q13" s="22" t="str">
        <x:v>2026-10-18</x:v>
      </x:c>
      <x:c r="R13" s="28" t="str"/>
      <x:c r="S13" s="28" t="str"/>
      <x:c r="T13" s="22" t="str">
        <x:v>REPO_REPORT</x:v>
      </x:c>
      <x:c r="U13" s="22" t="str">
        <x:v>No confundir AST/DOM con backend ejecutado.</x:v>
      </x:c>
    </x:row>
    <x:row r="14" ht="31" customHeight="1">
      <x:c r="A14" s="26" t="str">
        <x:v>TAP-009</x:v>
      </x:c>
      <x:c r="B14" s="22" t="str">
        <x:v>Investigación externa</x:v>
      </x:c>
      <x:c r="C14" s="22" t="str">
        <x:v>01 Research</x:v>
      </x:c>
      <x:c r="D14" s="22" t="str">
        <x:v>AI-BOTS-002 REA v3.1</x:v>
      </x:c>
      <x:c r="E14" s="22" t="str">
        <x:v>Corregir atribución www.nof1.ai vs repositorio 195440</x:v>
      </x:c>
      <x:c r="F14" s="22" t="str">
        <x:v>VERIFICADO_FOCAL</x:v>
      </x:c>
      <x:c r="G14" s="22" t="str">
        <x:v>P0</x:v>
      </x:c>
      <x:c r="H14" s="24" t="n">
        <x:v>1</x:v>
      </x:c>
      <x:c r="I14" s="22" t="n">
        <x:v>5</x:v>
      </x:c>
      <x:c r="J14" s="22" t="str">
        <x:v>TAP-008</x:v>
      </x:c>
      <x:c r="K14" s="22" t="str">
        <x:v>Bundle público reetiquetado como UNATTRIBUTED</x:v>
      </x:c>
      <x:c r="L14" s="22" t="str">
        <x:v>6403c71 / T-NF-PUBLIC PROVENANCE</x:v>
      </x:c>
      <x:c r="M14" s="22" t="str">
        <x:v>https://github.com/Extr3sao/bot_crypto/tree/agent/ai-vision/RFC-AI-VISION-001/reports/ai-bots/RFC-AI-BOTS-002/rea/targets/T-NF-PUBLIC</x:v>
      </x:c>
      <x:c r="N14" s="22" t="str">
        <x:v>Codex</x:v>
      </x:c>
      <x:c r="O14" s="22" t="str"/>
      <x:c r="P14" s="22" t="str"/>
      <x:c r="Q14" s="22" t="str">
        <x:v>2026-10-18</x:v>
      </x:c>
      <x:c r="R14" s="28" t="str"/>
      <x:c r="S14" s="28" t="str"/>
      <x:c r="T14" s="22" t="str">
        <x:v>REPO_REPORT</x:v>
      </x:c>
      <x:c r="U14" s="22" t="str"/>
    </x:row>
    <x:row r="15" ht="31" customHeight="1">
      <x:c r="A15" s="26" t="str">
        <x:v>TAP-010</x:v>
      </x:c>
      <x:c r="B15" s="22" t="str">
        <x:v>Investigación externa</x:v>
      </x:c>
      <x:c r="C15" s="22" t="str">
        <x:v>01 Research</x:v>
      </x:c>
      <x:c r="D15" s="22" t="str">
        <x:v>AI-BOTS-002 REA v3.1</x:v>
      </x:c>
      <x:c r="E15" s="22" t="str">
        <x:v>Instrumentar renderizador de FenixAI offline, fallos cache/placeholder</x:v>
      </x:c>
      <x:c r="F15" s="22" t="str">
        <x:v>VERIFICADO_FOCAL</x:v>
      </x:c>
      <x:c r="G15" s="22" t="str">
        <x:v>P1</x:v>
      </x:c>
      <x:c r="H15" s="24" t="n">
        <x:v>1</x:v>
      </x:c>
      <x:c r="I15" s="22" t="n">
        <x:v>6</x:v>
      </x:c>
      <x:c r="J15" s="22" t="str">
        <x:v>TAP-008</x:v>
      </x:c>
      <x:c r="K15" s="22" t="str">
        <x:v>Python instrumentado != REA; no copiar antipatrones</x:v>
      </x:c>
      <x:c r="L15" s="22" t="str">
        <x:v>4dba317 / Fenix instrumentation</x:v>
      </x:c>
      <x:c r="M15" s="22" t="str">
        <x:v>https://github.com/Extr3sao/bot_crypto/tree/agent/ai-vision/RFC-AI-VISION-001/reports/ai-bots/RFC-AI-BOTS-002/rea/targets/T-FE-FENIX/instrumentation</x:v>
      </x:c>
      <x:c r="N15" s="22" t="str">
        <x:v>Codex</x:v>
      </x:c>
      <x:c r="O15" s="22" t="str"/>
      <x:c r="P15" s="22" t="str"/>
      <x:c r="Q15" s="22" t="str">
        <x:v>2026-10-18</x:v>
      </x:c>
      <x:c r="R15" s="28" t="str"/>
      <x:c r="S15" s="28" t="str"/>
      <x:c r="T15" s="22" t="str">
        <x:v>REPO_REPORT</x:v>
      </x:c>
      <x:c r="U15" s="22" t="str"/>
    </x:row>
    <x:row r="16" ht="31" customHeight="1">
      <x:c r="A16" s="26" t="str">
        <x:v>TAP-011</x:v>
      </x:c>
      <x:c r="B16" s="22" t="str">
        <x:v>Investigación externa</x:v>
      </x:c>
      <x:c r="C16" s="22" t="str">
        <x:v>01 Research</x:v>
      </x:c>
      <x:c r="D16" s="22" t="str">
        <x:v>AI-BOTS-002</x:v>
      </x:c>
      <x:c r="E16" s="22" t="str">
        <x:v>Certificar patrones externos funcionales con REA + runtime origen</x:v>
      </x:c>
      <x:c r="F16" s="22" t="str">
        <x:v>BLOQUEADO</x:v>
      </x:c>
      <x:c r="G16" s="22" t="str">
        <x:v>P2</x:v>
      </x:c>
      <x:c r="H16" s="24" t="n">
        <x:v>0.2</x:v>
      </x:c>
      <x:c r="I16" s="22" t="n">
        <x:v>70</x:v>
      </x:c>
      <x:c r="J16" s="22" t="str">
        <x:v>TAP-008; TAP-010</x:v>
      </x:c>
      <x:c r="K16" s="22" t="str">
        <x:v>0 patrones CERTIFIED; 5/7 artefactos solo declarados</x:v>
      </x:c>
      <x:c r="L16" s="22" t="str">
        <x:v>Issue #11</x:v>
      </x:c>
      <x:c r="M16" s="22" t="str">
        <x:v>https://github.com/Extr3sao/bot_crypto/issues/11</x:v>
      </x:c>
      <x:c r="N16" s="22" t="str">
        <x:v>Codex</x:v>
      </x:c>
      <x:c r="O16" s="22" t="str"/>
      <x:c r="P16" s="22" t="str"/>
      <x:c r="Q16" s="22" t="str">
        <x:v>2026-10-18</x:v>
      </x:c>
      <x:c r="R16" s="28" t="str">
        <x:v>Solo si surge un patrón diferencial con hipótesis medible.</x:v>
      </x:c>
      <x:c r="S16" s="28" t="str">
        <x:v>Sin cadena conductual funcional o no hay mejora demostrada.</x:v>
      </x:c>
      <x:c r="T16" s="22" t="str">
        <x:v>REPO_REPORT</x:v>
      </x:c>
      <x:c r="U16" s="22" t="str"/>
    </x:row>
    <x:row r="17" ht="31" customHeight="1">
      <x:c r="A17" s="26" t="str">
        <x:v>TAP-012</x:v>
      </x:c>
      <x:c r="B17" s="22" t="str">
        <x:v>Agentes IA</x:v>
      </x:c>
      <x:c r="C17" s="22" t="str">
        <x:v>04 Foundation</x:v>
      </x:c>
      <x:c r="D17" s="22" t="str">
        <x:v>RFC-AI-VISION-001</x:v>
      </x:c>
      <x:c r="E17" s="22" t="str">
        <x:v>BOT-VIS-01: charts PNG, hash, esquema, provider, ledger</x:v>
      </x:c>
      <x:c r="F17" s="22" t="str">
        <x:v>VERIFICADO_FOCAL</x:v>
      </x:c>
      <x:c r="G17" s="22" t="str">
        <x:v>P0</x:v>
      </x:c>
      <x:c r="H17" s="24" t="n">
        <x:v>1</x:v>
      </x:c>
      <x:c r="I17" s="22" t="n">
        <x:v>7</x:v>
      </x:c>
      <x:c r="J17" s="22" t="str">
        <x:v>TAP-008</x:v>
      </x:c>
      <x:c r="K17" s="22" t="str">
        <x:v>Infra construida; proveedor real NO ejecutado</x:v>
      </x:c>
      <x:c r="L17" s="22" t="str">
        <x:v>091d55d / source + tests</x:v>
      </x:c>
      <x:c r="M17" s="22" t="str">
        <x:v>https://github.com/Extr3sao/bot_crypto/tree/agent/ai-vision/RFC-AI-VISION-001/src/trading_bot/vision</x:v>
      </x:c>
      <x:c r="N17" s="22" t="str">
        <x:v>Codex</x:v>
      </x:c>
      <x:c r="O17" s="22" t="str"/>
      <x:c r="P17" s="22" t="str"/>
      <x:c r="Q17" s="22" t="str">
        <x:v>2026-10-18</x:v>
      </x:c>
      <x:c r="R17" s="28" t="str"/>
      <x:c r="S17" s="28" t="str"/>
      <x:c r="T17" s="22" t="str">
        <x:v>REPO_REPORT</x:v>
      </x:c>
      <x:c r="U17" s="22" t="str">
        <x:v>No certifica decisiones con IA real.</x:v>
      </x:c>
    </x:row>
    <x:row r="18" ht="31" customHeight="1">
      <x:c r="A18" s="26" t="str">
        <x:v>TAP-013</x:v>
      </x:c>
      <x:c r="B18" s="22" t="str">
        <x:v>Agentes IA</x:v>
      </x:c>
      <x:c r="C18" s="22" t="str">
        <x:v>04 Foundation</x:v>
      </x:c>
      <x:c r="D18" s="22" t="str">
        <x:v>AI-BOTS-002</x:v>
      </x:c>
      <x:c r="E18" s="22" t="str">
        <x:v>BOT-CTX-01: control numérico, registro capacidades y runner</x:v>
      </x:c>
      <x:c r="F18" s="22" t="str">
        <x:v>VERIFICADO_FOCAL</x:v>
      </x:c>
      <x:c r="G18" s="22" t="str">
        <x:v>P0</x:v>
      </x:c>
      <x:c r="H18" s="24" t="n">
        <x:v>1</x:v>
      </x:c>
      <x:c r="I18" s="22" t="n">
        <x:v>7</x:v>
      </x:c>
      <x:c r="J18" s="22" t="str">
        <x:v>TAP-012</x:v>
      </x:c>
      <x:c r="K18" s="22" t="str">
        <x:v>Provider guion mock; 0 llamadas reales</x:v>
      </x:c>
      <x:c r="L18" s="22" t="str">
        <x:v>4dba317 / registry.py</x:v>
      </x:c>
      <x:c r="M18" s="22" t="str">
        <x:v>https://github.com/Extr3sao/bot_crypto/blob/agent/ai-vision/RFC-AI-VISION-001/src/trading_bot/intelligence/ai_bots/registry.py</x:v>
      </x:c>
      <x:c r="N18" s="22" t="str">
        <x:v>Codex</x:v>
      </x:c>
      <x:c r="O18" s="22" t="str"/>
      <x:c r="P18" s="22" t="str"/>
      <x:c r="Q18" s="22" t="str">
        <x:v>2026-10-18</x:v>
      </x:c>
      <x:c r="R18" s="28" t="str"/>
      <x:c r="S18" s="28" t="str"/>
      <x:c r="T18" s="22" t="str">
        <x:v>REPO_REPORT</x:v>
      </x:c>
      <x:c r="U18" s="22" t="str"/>
    </x:row>
    <x:row r="19" ht="31" customHeight="1">
      <x:c r="A19" s="26" t="str">
        <x:v>TAP-014</x:v>
      </x:c>
      <x:c r="B19" s="22" t="str">
        <x:v>Agentes IA</x:v>
      </x:c>
      <x:c r="C19" s="22" t="str">
        <x:v>04 Foundation</x:v>
      </x:c>
      <x:c r="D19" s="22" t="str">
        <x:v>AI-VISION-001 P0</x:v>
      </x:c>
      <x:c r="E19" s="22" t="str">
        <x:v>Hash imagen mismatch aborta; no falsa señal</x:v>
      </x:c>
      <x:c r="F19" s="22" t="str">
        <x:v>VERIFICADO_FOCAL</x:v>
      </x:c>
      <x:c r="G19" s="22" t="str">
        <x:v>P0</x:v>
      </x:c>
      <x:c r="H19" s="24" t="n">
        <x:v>1</x:v>
      </x:c>
      <x:c r="I19" s="22" t="n">
        <x:v>7</x:v>
      </x:c>
      <x:c r="J19" s="22" t="str">
        <x:v>TAP-012</x:v>
      </x:c>
      <x:c r="K19" s="22" t="str">
        <x:v>RED→GREEN 15/15 focales reportados</x:v>
      </x:c>
      <x:c r="L19" s="22" t="str">
        <x:v>e4db7da / vision lane tests</x:v>
      </x:c>
      <x:c r="M19" s="22" t="str">
        <x:v>https://github.com/Extr3sao/bot_crypto/tree/agent/ai-vision/RFC-AI-VISION-001/tests/unit/vision</x:v>
      </x:c>
      <x:c r="N19" s="22" t="str">
        <x:v>Codex</x:v>
      </x:c>
      <x:c r="O19" s="22" t="str"/>
      <x:c r="P19" s="22" t="str"/>
      <x:c r="Q19" s="22" t="str">
        <x:v>2026-10-18</x:v>
      </x:c>
      <x:c r="R19" s="28" t="str"/>
      <x:c r="S19" s="28" t="str"/>
      <x:c r="T19" s="22" t="str">
        <x:v>REPO_REPORT</x:v>
      </x:c>
      <x:c r="U19" s="22" t="str"/>
    </x:row>
    <x:row r="20" ht="31" customHeight="1">
      <x:c r="A20" s="26" t="str">
        <x:v>TAP-015</x:v>
      </x:c>
      <x:c r="B20" s="22" t="str">
        <x:v>Agentes IA</x:v>
      </x:c>
      <x:c r="C20" s="22" t="str">
        <x:v>09 Decision / critic</x:v>
      </x:c>
      <x:c r="D20" s="22" t="str">
        <x:v>AI-VISION-001 P0</x:v>
      </x:c>
      <x:c r="E20" s="22" t="str">
        <x:v>Comparador devuelve NOT_COMPARABLE para experimentos distintos</x:v>
      </x:c>
      <x:c r="F20" s="22" t="str">
        <x:v>VERIFICADO_FOCAL</x:v>
      </x:c>
      <x:c r="G20" s="22" t="str">
        <x:v>P0</x:v>
      </x:c>
      <x:c r="H20" s="24" t="n">
        <x:v>1</x:v>
      </x:c>
      <x:c r="I20" s="22" t="n">
        <x:v>8</x:v>
      </x:c>
      <x:c r="J20" s="22" t="str">
        <x:v>TAP-012</x:v>
      </x:c>
      <x:c r="K20" s="22" t="str">
        <x:v>Sin etiqueta VISION_ADDS_VALUE si inputs no comparables</x:v>
      </x:c>
      <x:c r="L20" s="22" t="str">
        <x:v>e4db7da / compare.py</x:v>
      </x:c>
      <x:c r="M20" s="22" t="str">
        <x:v>https://github.com/Extr3sao/bot_crypto/blob/agent/ai-vision/RFC-AI-VISION-001/src/trading_bot/vision/compare.py</x:v>
      </x:c>
      <x:c r="N20" s="22" t="str">
        <x:v>Codex</x:v>
      </x:c>
      <x:c r="O20" s="22" t="str"/>
      <x:c r="P20" s="22" t="str"/>
      <x:c r="Q20" s="22" t="str">
        <x:v>2026-10-18</x:v>
      </x:c>
      <x:c r="R20" s="28" t="str"/>
      <x:c r="S20" s="28" t="str"/>
      <x:c r="T20" s="22" t="str">
        <x:v>REPO_REPORT</x:v>
      </x:c>
      <x:c r="U20" s="22" t="str"/>
    </x:row>
    <x:row r="21" ht="31" customHeight="1">
      <x:c r="A21" s="26" t="str">
        <x:v>TAP-016</x:v>
      </x:c>
      <x:c r="B21" s="22" t="str">
        <x:v>Agentes IA</x:v>
      </x:c>
      <x:c r="C21" s="22" t="str">
        <x:v>09 Decision / critic</x:v>
      </x:c>
      <x:c r="D21" s="22" t="str">
        <x:v>AI-BOTS-003A</x:v>
      </x:c>
      <x:c r="E21" s="22" t="str">
        <x:v>Reloj PIT: cierre vela + data_delay; causal guards</x:v>
      </x:c>
      <x:c r="F21" s="22" t="str">
        <x:v>VERIFICADO_FOCAL</x:v>
      </x:c>
      <x:c r="G21" s="22" t="str">
        <x:v>P0</x:v>
      </x:c>
      <x:c r="H21" s="24" t="n">
        <x:v>1</x:v>
      </x:c>
      <x:c r="I21" s="22" t="n">
        <x:v>9</x:v>
      </x:c>
      <x:c r="J21" s="22" t="str">
        <x:v>TAP-012</x:v>
      </x:c>
      <x:c r="K21" s="22" t="str">
        <x:v>Clock real + 7 tests nuevos reportados</x:v>
      </x:c>
      <x:c r="L21" s="22" t="str">
        <x:v>2921f6d / BLOCK A</x:v>
      </x:c>
      <x:c r="M21" s="22" t="str">
        <x:v>https://github.com/Extr3sao/bot_crypto/tree/agent/ai-bots/RFC-TAP-AI-BOTS-003/src/trading_bot/vision</x:v>
      </x:c>
      <x:c r="N21" s="22" t="str">
        <x:v>Codex</x:v>
      </x:c>
      <x:c r="O21" s="22" t="str"/>
      <x:c r="P21" s="22" t="str"/>
      <x:c r="Q21" s="22" t="str">
        <x:v>2026-10-18</x:v>
      </x:c>
      <x:c r="R21" s="28" t="str"/>
      <x:c r="S21" s="28" t="str"/>
      <x:c r="T21" s="22" t="str">
        <x:v>REPO_REPORT</x:v>
      </x:c>
      <x:c r="U21" s="22" t="str"/>
    </x:row>
    <x:row r="22" ht="31" customHeight="1">
      <x:c r="A22" s="26" t="str">
        <x:v>TAP-017</x:v>
      </x:c>
      <x:c r="B22" s="22" t="str">
        <x:v>Agentes IA</x:v>
      </x:c>
      <x:c r="C22" s="22" t="str">
        <x:v>10 Risk / Portfolio</x:v>
      </x:c>
      <x:c r="D22" s="22" t="str">
        <x:v>AI-BOTS-003A</x:v>
      </x:c>
      <x:c r="E22" s="22" t="str">
        <x:v>Sincronizar RiskManager equity MTM con PaperBroker</x:v>
      </x:c>
      <x:c r="F22" s="22" t="str">
        <x:v>VERIFICADO_FOCAL</x:v>
      </x:c>
      <x:c r="G22" s="22" t="str">
        <x:v>P0</x:v>
      </x:c>
      <x:c r="H22" s="24" t="n">
        <x:v>1</x:v>
      </x:c>
      <x:c r="I22" s="22" t="n">
        <x:v>9</x:v>
      </x:c>
      <x:c r="J22" s="22" t="str">
        <x:v>TAP-016</x:v>
      </x:c>
      <x:c r="K22" s="22" t="str">
        <x:v>Pruebas de parity sobre runtime mismo</x:v>
      </x:c>
      <x:c r="L22" s="22" t="str">
        <x:v>2921f6d / test_causal_clock</x:v>
      </x:c>
      <x:c r="M22" s="22" t="str">
        <x:v>https://github.com/Extr3sao/bot_crypto/blob/agent/ai-bots/RFC-TAP-AI-BOTS-003/tests/unit/vision/test_causal_clock.py</x:v>
      </x:c>
      <x:c r="N22" s="22" t="str">
        <x:v>Codex</x:v>
      </x:c>
      <x:c r="O22" s="22" t="str"/>
      <x:c r="P22" s="22" t="str"/>
      <x:c r="Q22" s="22" t="str">
        <x:v>2026-10-18</x:v>
      </x:c>
      <x:c r="R22" s="28" t="str"/>
      <x:c r="S22" s="28" t="str"/>
      <x:c r="T22" s="22" t="str">
        <x:v>REPO_REPORT</x:v>
      </x:c>
      <x:c r="U22" s="22" t="str"/>
    </x:row>
    <x:row r="23" ht="31" customHeight="1">
      <x:c r="A23" s="26" t="str">
        <x:v>TAP-018</x:v>
      </x:c>
      <x:c r="B23" s="22" t="str">
        <x:v>Agentes IA</x:v>
      </x:c>
      <x:c r="C23" s="22" t="str">
        <x:v>14 Paper</x:v>
      </x:c>
      <x:c r="D23" s="22" t="str">
        <x:v>AI-BOTS-003B</x:v>
      </x:c>
      <x:c r="E23" s="22" t="str">
        <x:v>Precio de primera apertura posterior a respuesta (replay causal 1h)</x:v>
      </x:c>
      <x:c r="F23" s="22" t="str">
        <x:v>VERIFICADO_FOCAL</x:v>
      </x:c>
      <x:c r="G23" s="22" t="str">
        <x:v>P0</x:v>
      </x:c>
      <x:c r="H23" s="24" t="n">
        <x:v>1</x:v>
      </x:c>
      <x:c r="I23" s="22" t="n">
        <x:v>10</x:v>
      </x:c>
      <x:c r="J23" s="22" t="str">
        <x:v>TAP-016</x:v>
      </x:c>
      <x:c r="K23" s="22" t="str">
        <x:v>293 tests focales; 21 checks por bot, 10 mutaciones por bot</x:v>
      </x:c>
      <x:c r="L23" s="22" t="str">
        <x:v>ffbc0ca / BLOCK-B FINAL_REPORT</x:v>
      </x:c>
      <x:c r="M23" s="22" t="str">
        <x:v>https://github.com/Extr3sao/bot_crypto/blob/agent/ai-bots/RFC-TAP-AI-BOTS-003/reports/ai-bots/RFC-AI-BOTS-003/BLOCK-B/FINAL_REPORT.md</x:v>
      </x:c>
      <x:c r="N23" s="22" t="str">
        <x:v>Codex</x:v>
      </x:c>
      <x:c r="O23" s="22" t="str"/>
      <x:c r="P23" s="22" t="str"/>
      <x:c r="Q23" s="22" t="str">
        <x:v>2026-10-18</x:v>
      </x:c>
      <x:c r="R23" s="28" t="str"/>
      <x:c r="S23" s="28" t="str"/>
      <x:c r="T23" s="22" t="str">
        <x:v>REPO_REPORT</x:v>
      </x:c>
      <x:c r="U23" s="22" t="str">
        <x:v>La latencia de 900ms en 1h fuerza espera de casi 1h; no equivale a live tick.</x:v>
      </x:c>
    </x:row>
    <x:row r="24" ht="31" customHeight="1">
      <x:c r="A24" s="26" t="str">
        <x:v>TAP-019</x:v>
      </x:c>
      <x:c r="B24" s="22" t="str">
        <x:v>Agentes IA</x:v>
      </x:c>
      <x:c r="C24" s="22" t="str">
        <x:v>10 Risk / Portfolio</x:v>
      </x:c>
      <x:c r="D24" s="22" t="str">
        <x:v>AI-BOTS-003B</x:v>
      </x:c>
      <x:c r="E24" s="22" t="str">
        <x:v>Stops intrabar, gap conservador, reconciliación neta</x:v>
      </x:c>
      <x:c r="F24" s="22" t="str">
        <x:v>VERIFICADO_FOCAL</x:v>
      </x:c>
      <x:c r="G24" s="22" t="str">
        <x:v>P0</x:v>
      </x:c>
      <x:c r="H24" s="24" t="n">
        <x:v>1</x:v>
      </x:c>
      <x:c r="I24" s="22" t="n">
        <x:v>10</x:v>
      </x:c>
      <x:c r="J24" s="22" t="str">
        <x:v>TAP-018</x:v>
      </x:c>
      <x:c r="K24" s="22" t="str">
        <x:v>14 cierres mock por bot, 0 edge</x:v>
      </x:c>
      <x:c r="L24" s="22" t="str">
        <x:v>ffbc0ca / BLOCK-B WP_RUN_REPORT.json</x:v>
      </x:c>
      <x:c r="M24" s="22" t="str">
        <x:v>https://github.com/Extr3sao/bot_crypto/blob/agent/ai-bots/RFC-TAP-AI-BOTS-003/reports/ai-bots/RFC-AI-BOTS-003/BLOCK-B/WP_RUN_REPORT.json</x:v>
      </x:c>
      <x:c r="N24" s="22" t="str">
        <x:v>Codex</x:v>
      </x:c>
      <x:c r="O24" s="22" t="str"/>
      <x:c r="P24" s="22" t="str"/>
      <x:c r="Q24" s="22" t="str">
        <x:v>2026-10-18</x:v>
      </x:c>
      <x:c r="R24" s="28" t="str"/>
      <x:c r="S24" s="28" t="str"/>
      <x:c r="T24" s="22" t="str">
        <x:v>REPO_REPORT</x:v>
      </x:c>
      <x:c r="U24" s="22" t="str"/>
    </x:row>
    <x:row r="25" ht="31" customHeight="1">
      <x:c r="A25" s="26" t="str">
        <x:v>TAP-020</x:v>
      </x:c>
      <x:c r="B25" s="22" t="str">
        <x:v>Agentes IA</x:v>
      </x:c>
      <x:c r="C25" s="22" t="str">
        <x:v>10 Risk / Portfolio</x:v>
      </x:c>
      <x:c r="D25" s="22" t="str">
        <x:v>AI-BOTS-003C</x:v>
      </x:c>
      <x:c r="E25" s="22" t="str">
        <x:v>OPEN gap stops antes de nuevas entradas, mark equity correcto</x:v>
      </x:c>
      <x:c r="F25" s="22" t="str">
        <x:v>VERIFICADO_FOCAL</x:v>
      </x:c>
      <x:c r="G25" s="22" t="str">
        <x:v>P0</x:v>
      </x:c>
      <x:c r="H25" s="24" t="n">
        <x:v>1</x:v>
      </x:c>
      <x:c r="I25" s="22" t="n">
        <x:v>11</x:v>
      </x:c>
      <x:c r="J25" s="22" t="str">
        <x:v>TAP-019</x:v>
      </x:c>
      <x:c r="K25" s="22" t="str">
        <x:v>459 tests suites afectadas; 120 checks en 5 escenarios</x:v>
      </x:c>
      <x:c r="L25" s="22" t="str">
        <x:v>86d4f12 motor · 0841d37 cierre/recibos</x:v>
      </x:c>
      <x:c r="M25" s="22" t="str">
        <x:v>https://github.com/Extr3sao/bot_crypto/blob/agent/ai-bots/RFC-TAP-AI-BOTS-003/reports/ai-bots/RFC-AI-BOTS-003/BLOCK-C/FINAL_REPORT.md</x:v>
      </x:c>
      <x:c r="N25" s="22" t="str">
        <x:v>Codex</x:v>
      </x:c>
      <x:c r="O25" s="22" t="str"/>
      <x:c r="P25" s="22" t="str"/>
      <x:c r="Q25" s="22" t="str">
        <x:v>2026-10-18</x:v>
      </x:c>
      <x:c r="R25" s="28" t="str"/>
      <x:c r="S25" s="28" t="str"/>
      <x:c r="T25" s="22" t="str">
        <x:v>REPO_REPORT</x:v>
      </x:c>
      <x:c r="U25" s="22" t="str">
        <x:v>Gaps OPEN antes de nuevas entradas. Caso sintético sí; datos reales sin gap OPEN &gt;2%. 459 tests focalizados comunicados; sin modelo real. Reproducibilidad de captura revalidada hasta 0841d37.</x:v>
      </x:c>
    </x:row>
    <x:row r="26" ht="31" customHeight="1">
      <x:c r="A26" s="26" t="str">
        <x:v>TAP-021</x:v>
      </x:c>
      <x:c r="B26" s="22" t="str">
        <x:v>Agentes IA</x:v>
      </x:c>
      <x:c r="C26" s="22" t="str">
        <x:v>07 Asset Intelligence</x:v>
      </x:c>
      <x:c r="D26" s="22" t="str">
        <x:v>AI-BOTS-003C</x:v>
      </x:c>
      <x:c r="E26" s="22" t="str">
        <x:v>Frescura/gaps cobertura/QuoteFeed y no false-price</x:v>
      </x:c>
      <x:c r="F26" s="22" t="str">
        <x:v>VERIFICADO_FOCAL</x:v>
      </x:c>
      <x:c r="G26" s="22" t="str">
        <x:v>P0</x:v>
      </x:c>
      <x:c r="H26" s="24" t="n">
        <x:v>1</x:v>
      </x:c>
      <x:c r="I26" s="22" t="n">
        <x:v>11</x:v>
      </x:c>
      <x:c r="J26" s="22" t="str">
        <x:v>TAP-020</x:v>
      </x:c>
      <x:c r="K26" s="22" t="str">
        <x:v>53 mutaciones detectadas / 12 omitidas por diseño</x:v>
      </x:c>
      <x:c r="L26" s="22" t="str">
        <x:v>0841d37 · COVERAGE_LEDGER + series_sha256</x:v>
      </x:c>
      <x:c r="M26" s="22" t="str">
        <x:v>https://github.com/Extr3sao/bot_crypto/blob/agent/ai-bots/RFC-TAP-AI-BOTS-003/reports/ai-bots/RFC-AI-BOTS-003/BLOCK-C/CAPTURE.json</x:v>
      </x:c>
      <x:c r="N26" s="22" t="str">
        <x:v>Codex</x:v>
      </x:c>
      <x:c r="O26" s="22" t="str"/>
      <x:c r="P26" s="22" t="str"/>
      <x:c r="Q26" s="22" t="str">
        <x:v>2026-10-18</x:v>
      </x:c>
      <x:c r="R26" s="28" t="str"/>
      <x:c r="S26" s="28" t="str"/>
      <x:c r="T26" s="22" t="str">
        <x:v>REPO_REPORT</x:v>
      </x:c>
      <x:c r="U26" s="22" t="str">
        <x:v>Cov proof, DATA_GAP fail-closed; digest de barras consumidas. 53/53 mutaciones aplicadas detectadas; otras 12 omitidas por diseño.</x:v>
      </x:c>
    </x:row>
    <x:row r="27" ht="31" customHeight="1">
      <x:c r="A27" s="26" t="str">
        <x:v>TAP-022</x:v>
      </x:c>
      <x:c r="B27" s="22" t="str">
        <x:v>Agentes IA</x:v>
      </x:c>
      <x:c r="C27" s="22" t="str">
        <x:v>12 Observabilidad</x:v>
      </x:c>
      <x:c r="D27" s="22" t="str">
        <x:v>AI-BOTS-003C</x:v>
      </x:c>
      <x:c r="E27" s="22" t="str">
        <x:v>Publicación y verificación desde git archive clean</x:v>
      </x:c>
      <x:c r="F27" s="22" t="str">
        <x:v>VERIFICADO_FOCAL</x:v>
      </x:c>
      <x:c r="G27" s="22" t="str">
        <x:v>P0</x:v>
      </x:c>
      <x:c r="H27" s="24" t="n">
        <x:v>1</x:v>
      </x:c>
      <x:c r="I27" s="22" t="n">
        <x:v>12</x:v>
      </x:c>
      <x:c r="J27" s="22" t="str">
        <x:v>TAP-020</x:v>
      </x:c>
      <x:c r="K27" s="22" t="str">
        <x:v>Reporte: 24 checks + 19 tests de archive para commit motor 86d4f12; captura regenerada 120 checks y 53/53 mutaciones tras fix --bars=1000. Suite global NO repetida.</x:v>
      </x:c>
      <x:c r="L27" s="22" t="str">
        <x:v>0841d37 · CLEAN_ARCHIVE.json / series_sha256</x:v>
      </x:c>
      <x:c r="M27" s="22" t="str">
        <x:v>https://github.com/Extr3sao/bot_crypto/blob/agent/ai-bots/RFC-TAP-AI-BOTS-003/reports/ai-bots/RFC-AI-BOTS-003/BLOCK-C/evidence/CLEAN_ARCHIVE.json</x:v>
      </x:c>
      <x:c r="N27" s="22" t="str">
        <x:v>Codex</x:v>
      </x:c>
      <x:c r="O27" s="22" t="str"/>
      <x:c r="P27" s="22" t="str"/>
      <x:c r="Q27" s="22" t="str">
        <x:v>2026-10-18</x:v>
      </x:c>
      <x:c r="R27" s="28" t="str">
        <x:v>Ejecutar clean-clone suite completa antes de certificar runtime global.</x:v>
      </x:c>
      <x:c r="S27" s="28" t="str"/>
      <x:c r="T27" s="22" t="str">
        <x:v>REPO_REPORT</x:v>
      </x:c>
      <x:c r="U27" s="22" t="str">
        <x:v>Commits 86d4f12 (motor), eeb0bea (informe), 0841d37 (pin serie y reproducibilidad). El archivo de evidencia documenta equivalencia; los 459 tests no se reejecutaron tras cambios solo de captura/informes.</x:v>
      </x:c>
    </x:row>
    <x:row r="28" ht="31" customHeight="1">
      <x:c r="A28" s="26" t="str">
        <x:v>TAP-023</x:v>
      </x:c>
      <x:c r="B28" s="22" t="str">
        <x:v>Agentes IA</x:v>
      </x:c>
      <x:c r="C28" s="22" t="str">
        <x:v>05 Communication</x:v>
      </x:c>
      <x:c r="D28" s="22" t="str">
        <x:v>AI-BOTS-003D</x:v>
      </x:c>
      <x:c r="E28" s="22" t="str">
        <x:v>Receipts proveedor: id auténtico, error, retries, coste por intento</x:v>
      </x:c>
      <x:c r="F28" s="22" t="str">
        <x:v>PENDIENTE</x:v>
      </x:c>
      <x:c r="G28" s="22" t="str">
        <x:v>P0</x:v>
      </x:c>
      <x:c r="H28" s="24" t="n">
        <x:v>0</x:v>
      </x:c>
      <x:c r="I28" s="22" t="n">
        <x:v>15</x:v>
      </x:c>
      <x:c r="J28" s="22" t="str">
        <x:v>TAP-020</x:v>
      </x:c>
      <x:c r="K28" s="22" t="str">
        <x:v>GATE: recibo real ≠ id fabricado</x:v>
      </x:c>
      <x:c r="L28" s="22" t="str">
        <x:v>Issue #12</x:v>
      </x:c>
      <x:c r="M28" s="22" t="str">
        <x:v>https://github.com/Extr3sao/bot_crypto/issues/12</x:v>
      </x:c>
      <x:c r="N28" s="22" t="str">
        <x:v>Codex</x:v>
      </x:c>
      <x:c r="O28" s="22" t="str"/>
      <x:c r="P28" s="22" t="str"/>
      <x:c r="Q28" s="22" t="str">
        <x:v>2026-10-18</x:v>
      </x:c>
      <x:c r="R28" s="28" t="str">
        <x:v>Preparar offline provider y políticas de presupuesto/reintentos; no API pagada.</x:v>
      </x:c>
      <x:c r="S28" s="28" t="str"/>
      <x:c r="T28" s="22" t="str">
        <x:v>REPO_REPORT</x:v>
      </x:c>
      <x:c r="U28" s="22" t="str">
        <x:v>P0 siguiente bloque técnico: credenciales por env, recibos reales, errores, presupuesto y retries sin costes.</x:v>
      </x:c>
    </x:row>
    <x:row r="29" ht="31" customHeight="1">
      <x:c r="A29" s="26" t="str">
        <x:v>TAP-024</x:v>
      </x:c>
      <x:c r="B29" s="22" t="str">
        <x:v>Agentes IA</x:v>
      </x:c>
      <x:c r="C29" s="22" t="str">
        <x:v>07 Asset Intelligence</x:v>
      </x:c>
      <x:c r="D29" s="22" t="str">
        <x:v>AI-BOTS-003E</x:v>
      </x:c>
      <x:c r="E29" s="22" t="str">
        <x:v>Colección prospectiva de cotizaciones sub-vela 1m/tick con timestamps</x:v>
      </x:c>
      <x:c r="F29" s="22" t="str">
        <x:v>PENDIENTE</x:v>
      </x:c>
      <x:c r="G29" s="22" t="str">
        <x:v>P0</x:v>
      </x:c>
      <x:c r="H29" s="24" t="n">
        <x:v>0.05</x:v>
      </x:c>
      <x:c r="I29" s="22" t="n">
        <x:v>16</x:v>
      </x:c>
      <x:c r="J29" s="22" t="str">
        <x:v>TAP-021</x:v>
      </x:c>
      <x:c r="K29" s="22" t="str">
        <x:v>GATE: data_time &lt;= decision_time &lt;= quote_time; observable_at</x:v>
      </x:c>
      <x:c r="L29" s="22" t="str">
        <x:v>Issue #12</x:v>
      </x:c>
      <x:c r="M29" s="22" t="str">
        <x:v>https://github.com/Extr3sao/bot_crypto/issues/12</x:v>
      </x:c>
      <x:c r="N29" s="22" t="str">
        <x:v>Codex</x:v>
      </x:c>
      <x:c r="O29" s="22" t="str"/>
      <x:c r="P29" s="22" t="str"/>
      <x:c r="Q29" s="22" t="str">
        <x:v>2026-10-18</x:v>
      </x:c>
      <x:c r="R29" s="28" t="str">
        <x:v>Preflight disco y diseño feed; no inventar fill intrabar.</x:v>
      </x:c>
      <x:c r="S29" s="28" t="str">
        <x:v>Datos 1h no miden ejecución sub-minuto; scheduler sin autorización.</x:v>
      </x:c>
      <x:c r="T29" s="22" t="str">
        <x:v>REPO_REPORT</x:v>
      </x:c>
      <x:c r="U29" s="22" t="str"/>
    </x:row>
    <x:row r="30" ht="31" customHeight="1">
      <x:c r="A30" s="26" t="str">
        <x:v>TAP-025</x:v>
      </x:c>
      <x:c r="B30" s="22" t="str">
        <x:v>Agentes IA</x:v>
      </x:c>
      <x:c r="C30" s="22" t="str">
        <x:v>14 Paper</x:v>
      </x:c>
      <x:c r="D30" s="22" t="str">
        <x:v>AI-BOTS-003F</x:v>
      </x:c>
      <x:c r="E30" s="22" t="str">
        <x:v>1 smoke real multimodal VIS/CTX con recibos y presupuesto</x:v>
      </x:c>
      <x:c r="F30" s="22" t="str">
        <x:v>BLOQUEADO</x:v>
      </x:c>
      <x:c r="G30" s="22" t="str">
        <x:v>P0</x:v>
      </x:c>
      <x:c r="H30" s="24" t="n">
        <x:v>0</x:v>
      </x:c>
      <x:c r="I30" s="22" t="n">
        <x:v>23</x:v>
      </x:c>
      <x:c r="J30" s="22" t="str">
        <x:v>TAP-023; TAP-024</x:v>
      </x:c>
      <x:c r="K30" s="22" t="str">
        <x:v>GATE: clave local segura + aprobación explícita gasto</x:v>
      </x:c>
      <x:c r="L30" s="22" t="str">
        <x:v>Issue #12</x:v>
      </x:c>
      <x:c r="M30" s="22" t="str">
        <x:v>https://github.com/Extr3sao/bot_crypto/issues/12</x:v>
      </x:c>
      <x:c r="N30" s="22" t="str">
        <x:v>Usuario (autorización) + Codex</x:v>
      </x:c>
      <x:c r="O30" s="22" t="str"/>
      <x:c r="P30" s="22" t="str"/>
      <x:c r="Q30" s="22" t="str">
        <x:v>2026-10-18</x:v>
      </x:c>
      <x:c r="R30" s="28" t="str">
        <x:v>Solicitar solo cuando setup offline, risk y receipts estén listos.</x:v>
      </x:c>
      <x:c r="S30" s="28" t="str">
        <x:v>REAL_MODEL_CALLED=false; sin autorización coste/credencial.</x:v>
      </x:c>
      <x:c r="T30" s="22" t="str">
        <x:v>REPO_REPORT</x:v>
      </x:c>
      <x:c r="U30" s="22" t="str"/>
    </x:row>
    <x:row r="31" ht="31" customHeight="1">
      <x:c r="A31" s="26" t="str">
        <x:v>TAP-026</x:v>
      </x:c>
      <x:c r="B31" s="22" t="str">
        <x:v>Agentes IA</x:v>
      </x:c>
      <x:c r="C31" s="22" t="str">
        <x:v>15 Shadow / Canary</x:v>
      </x:c>
      <x:c r="D31" s="22" t="str">
        <x:v>AI-BOTS-003G</x:v>
      </x:c>
      <x:c r="E31" s="22" t="str">
        <x:v>Prueba prospectiva A/B VIS vs CTX vs CURRENT vs CASH</x:v>
      </x:c>
      <x:c r="F31" s="22" t="str">
        <x:v>BLOQUEADO</x:v>
      </x:c>
      <x:c r="G31" s="22" t="str">
        <x:v>P0</x:v>
      </x:c>
      <x:c r="H31" s="24" t="n">
        <x:v>0</x:v>
      </x:c>
      <x:c r="I31" s="22" t="n">
        <x:v>30</x:v>
      </x:c>
      <x:c r="J31" s="22" t="str">
        <x:v>TAP-025; TAP-024</x:v>
      </x:c>
      <x:c r="K31" s="22" t="str">
        <x:v>Mismas oportunidades, capital, coste, latency, sin hindsight</x:v>
      </x:c>
      <x:c r="L31" s="22" t="str">
        <x:v>Issue #12</x:v>
      </x:c>
      <x:c r="M31" s="22" t="str">
        <x:v>https://github.com/Extr3sao/bot_crypto/issues/12</x:v>
      </x:c>
      <x:c r="N31" s="22" t="str">
        <x:v>Codex</x:v>
      </x:c>
      <x:c r="O31" s="22" t="str"/>
      <x:c r="P31" s="22" t="str"/>
      <x:c r="Q31" s="22" t="str">
        <x:v>2026-10-18</x:v>
      </x:c>
      <x:c r="R31" s="28" t="str">
        <x:v>Congelar spec antes de OOS; almacenar decisiones reales.</x:v>
      </x:c>
      <x:c r="S31" s="28" t="str">
        <x:v>No receipts reales, sin muestras forward suficientes.</x:v>
      </x:c>
      <x:c r="T31" s="22" t="str">
        <x:v>REPO_REPORT</x:v>
      </x:c>
      <x:c r="U31" s="22" t="str"/>
    </x:row>
    <x:row r="32" ht="31" customHeight="1">
      <x:c r="A32" s="26" t="str">
        <x:v>TAP-027</x:v>
      </x:c>
      <x:c r="B32" s="22" t="str">
        <x:v>Agentes IA</x:v>
      </x:c>
      <x:c r="C32" s="22" t="str">
        <x:v>09 Decision / critic</x:v>
      </x:c>
      <x:c r="D32" s="22" t="str">
        <x:v>AI-BOTS-004</x:v>
      </x:c>
      <x:c r="E32" s="22" t="str">
        <x:v>Registro/prompt RFC crítico BOT-CRI-01 en SHADOW</x:v>
      </x:c>
      <x:c r="F32" s="22" t="str">
        <x:v>PROPUESTO</x:v>
      </x:c>
      <x:c r="G32" s="22" t="str">
        <x:v>P1</x:v>
      </x:c>
      <x:c r="H32" s="24" t="n">
        <x:v>0</x:v>
      </x:c>
      <x:c r="I32" s="22" t="n">
        <x:v>18</x:v>
      </x:c>
      <x:c r="J32" s="22" t="str">
        <x:v>TAP-020</x:v>
      </x:c>
      <x:c r="K32" s="22" t="str">
        <x:v>Por defecto deshabilitado; no gate de entrada aún</x:v>
      </x:c>
      <x:c r="L32" s="22" t="str">
        <x:v>Issue #14 / RFC 004</x:v>
      </x:c>
      <x:c r="M32" s="22" t="str">
        <x:v>https://github.com/Extr3sao/bot_crypto/issues/14</x:v>
      </x:c>
      <x:c r="N32" s="22" t="str">
        <x:v>Codex</x:v>
      </x:c>
      <x:c r="O32" s="22" t="str"/>
      <x:c r="P32" s="22" t="str"/>
      <x:c r="Q32" s="22" t="str">
        <x:v>2026-10-18</x:v>
      </x:c>
      <x:c r="R32" s="28" t="str">
        <x:v>Crear rama aislada; ejecutar fases REA + Python instrumentado offline.</x:v>
      </x:c>
      <x:c r="S32" s="28" t="str"/>
      <x:c r="T32" s="22" t="str">
        <x:v>REPO_REPORT</x:v>
      </x:c>
      <x:c r="U32" s="22" t="str"/>
    </x:row>
    <x:row r="33" ht="31" customHeight="1">
      <x:c r="A33" s="26" t="str">
        <x:v>TAP-028</x:v>
      </x:c>
      <x:c r="B33" s="22" t="str">
        <x:v>Agentes IA</x:v>
      </x:c>
      <x:c r="C33" s="22" t="str">
        <x:v>01 Research</x:v>
      </x:c>
      <x:c r="D33" s="22" t="str">
        <x:v>AI-BOTS-004/REA</x:v>
      </x:c>
      <x:c r="E33" s="22" t="str">
        <x:v>Auditar TradingAgents repo fijado Apache-2.0: HTML con REA + Python real</x:v>
      </x:c>
      <x:c r="F33" s="22" t="str">
        <x:v>PENDIENTE</x:v>
      </x:c>
      <x:c r="G33" s="22" t="str">
        <x:v>P1</x:v>
      </x:c>
      <x:c r="H33" s="24" t="n">
        <x:v>0</x:v>
      </x:c>
      <x:c r="I33" s="22" t="n">
        <x:v>14</x:v>
      </x:c>
      <x:c r="J33" s="22" t="str">
        <x:v>TAP-008</x:v>
      </x:c>
      <x:c r="K33" s="22" t="str">
        <x:v>REA sobre HTML solo UI, backend Python instrumentado distinto</x:v>
      </x:c>
      <x:c r="L33" s="22" t="str">
        <x:v>Issue #14 / upstream e8f5503</x:v>
      </x:c>
      <x:c r="M33" s="22" t="str">
        <x:v>https://github.com/Extr3sao/bot_crypto/issues/14</x:v>
      </x:c>
      <x:c r="N33" s="22" t="str">
        <x:v>Codex</x:v>
      </x:c>
      <x:c r="O33" s="22" t="str"/>
      <x:c r="P33" s="22" t="str"/>
      <x:c r="Q33" s="22" t="str">
        <x:v>2026-10-18</x:v>
      </x:c>
      <x:c r="R33" s="28" t="str">
        <x:v>Ejecutar REA CLI sobre reporte generado por mismo upstream; ensayos fake LLM sin red.</x:v>
      </x:c>
      <x:c r="S33" s="28" t="str"/>
      <x:c r="T33" s="22" t="str">
        <x:v>REPO_REPORT</x:v>
      </x:c>
      <x:c r="U33" s="22" t="str"/>
    </x:row>
    <x:row r="34" ht="31" customHeight="1">
      <x:c r="A34" s="26" t="str">
        <x:v>TAP-029</x:v>
      </x:c>
      <x:c r="B34" s="22" t="str">
        <x:v>Agentes IA</x:v>
      </x:c>
      <x:c r="C34" s="22" t="str">
        <x:v>05 Communication</x:v>
      </x:c>
      <x:c r="D34" s="22" t="str">
        <x:v>AI-BOTS-004</x:v>
      </x:c>
      <x:c r="E34" s="22" t="str">
        <x:v>CriticReview tipado: ACCEPT/CHALLENGE/ABSTAIN; evidencia y refutación</x:v>
      </x:c>
      <x:c r="F34" s="22" t="str">
        <x:v>PENDIENTE</x:v>
      </x:c>
      <x:c r="G34" s="22" t="str">
        <x:v>P1</x:v>
      </x:c>
      <x:c r="H34" s="24" t="n">
        <x:v>0</x:v>
      </x:c>
      <x:c r="I34" s="22" t="n">
        <x:v>19</x:v>
      </x:c>
      <x:c r="J34" s="22" t="str">
        <x:v>TAP-028</x:v>
      </x:c>
      <x:c r="K34" s="22" t="str">
        <x:v>LLM no sizing/stop/leverage/risk/ejecución</x:v>
      </x:c>
      <x:c r="L34" s="22" t="str">
        <x:v>Issue #14</x:v>
      </x:c>
      <x:c r="M34" s="22" t="str">
        <x:v>https://github.com/Extr3sao/bot_crypto/issues/14</x:v>
      </x:c>
      <x:c r="N34" s="22" t="str">
        <x:v>Codex</x:v>
      </x:c>
      <x:c r="O34" s="22" t="str"/>
      <x:c r="P34" s="22" t="str"/>
      <x:c r="Q34" s="22" t="str">
        <x:v>2026-10-18</x:v>
      </x:c>
      <x:c r="R34" s="28" t="str">
        <x:v>Tests schema, injected adversarial, veto no vacuo.</x:v>
      </x:c>
      <x:c r="S34" s="28" t="str"/>
      <x:c r="T34" s="22" t="str">
        <x:v>REPO_REPORT</x:v>
      </x:c>
      <x:c r="U34" s="22" t="str"/>
    </x:row>
    <x:row r="35" ht="31" customHeight="1">
      <x:c r="A35" s="26" t="str">
        <x:v>TAP-030</x:v>
      </x:c>
      <x:c r="B35" s="22" t="str">
        <x:v>Agentes IA</x:v>
      </x:c>
      <x:c r="C35" s="22" t="str">
        <x:v>15 Shadow / Canary</x:v>
      </x:c>
      <x:c r="D35" s="22" t="str">
        <x:v>AI-BOTS-004 SHADOW</x:v>
      </x:c>
      <x:c r="E35" s="22" t="str">
        <x:v>BOT-CRI-01 monitor sin modificar trades ni PnL</x:v>
      </x:c>
      <x:c r="F35" s="22" t="str">
        <x:v>PENDIENTE</x:v>
      </x:c>
      <x:c r="G35" s="22" t="str">
        <x:v>P1</x:v>
      </x:c>
      <x:c r="H35" s="24" t="n">
        <x:v>0</x:v>
      </x:c>
      <x:c r="I35" s="22" t="n">
        <x:v>20</x:v>
      </x:c>
      <x:c r="J35" s="22" t="str">
        <x:v>TAP-029; TAP-020</x:v>
      </x:c>
      <x:c r="K35" s="22" t="str">
        <x:v>Shadow parity bit-exact con/sin crítico</x:v>
      </x:c>
      <x:c r="L35" s="22" t="str">
        <x:v>Issue #14</x:v>
      </x:c>
      <x:c r="M35" s="22" t="str">
        <x:v>https://github.com/Extr3sao/bot_crypto/issues/14</x:v>
      </x:c>
      <x:c r="N35" s="22" t="str">
        <x:v>Codex</x:v>
      </x:c>
      <x:c r="O35" s="22" t="str"/>
      <x:c r="P35" s="22" t="str"/>
      <x:c r="Q35" s="22" t="str">
        <x:v>2026-10-18</x:v>
      </x:c>
      <x:c r="R35" s="28" t="str">
        <x:v>Conectar sin activar gate paper ni mercado live.</x:v>
      </x:c>
      <x:c r="S35" s="28" t="str"/>
      <x:c r="T35" s="22" t="str">
        <x:v>REPO_REPORT</x:v>
      </x:c>
      <x:c r="U35" s="22" t="str"/>
    </x:row>
    <x:row r="36" ht="31" customHeight="1">
      <x:c r="A36" s="26" t="str">
        <x:v>TAP-031</x:v>
      </x:c>
      <x:c r="B36" s="22" t="str">
        <x:v>Agentes IA</x:v>
      </x:c>
      <x:c r="C36" s="22" t="str">
        <x:v>09 Decision / critic</x:v>
      </x:c>
      <x:c r="D36" s="22" t="str">
        <x:v>AI-BOTS-004 GATED</x:v>
      </x:c>
      <x:c r="E36" s="22" t="str">
        <x:v>Habilitar veto solo nuevas entradas paper si aporta utilidad</x:v>
      </x:c>
      <x:c r="F36" s="22" t="str">
        <x:v>BLOQUEADO</x:v>
      </x:c>
      <x:c r="G36" s="22" t="str">
        <x:v>P1</x:v>
      </x:c>
      <x:c r="H36" s="24" t="n">
        <x:v>0</x:v>
      </x:c>
      <x:c r="I36" s="22" t="n">
        <x:v>31</x:v>
      </x:c>
      <x:c r="J36" s="22" t="str">
        <x:v>TAP-030; TAP-026</x:v>
      </x:c>
      <x:c r="K36" s="22" t="str">
        <x:v>No bloquear CLOSE protectores; ablation económica</x:v>
      </x:c>
      <x:c r="L36" s="22" t="str">
        <x:v>Issue #14</x:v>
      </x:c>
      <x:c r="M36" s="22" t="str">
        <x:v>https://github.com/Extr3sao/bot_crypto/issues/14</x:v>
      </x:c>
      <x:c r="N36" s="22" t="str">
        <x:v>Codex</x:v>
      </x:c>
      <x:c r="O36" s="22" t="str"/>
      <x:c r="P36" s="22" t="str"/>
      <x:c r="Q36" s="22" t="str">
        <x:v>2026-10-18</x:v>
      </x:c>
      <x:c r="R36" s="28" t="str">
        <x:v>Exigir comparativa neta incremental y independencia del crítico.</x:v>
      </x:c>
      <x:c r="S36" s="28" t="str">
        <x:v>Falta evidencia modelo real + ablation y gate AI-BOTS-003C.</x:v>
      </x:c>
      <x:c r="T36" s="22" t="str">
        <x:v>REPO_REPORT</x:v>
      </x:c>
      <x:c r="U36" s="22" t="str"/>
    </x:row>
    <x:row r="37" ht="31" customHeight="1">
      <x:c r="A37" s="26" t="str">
        <x:v>TAP-032</x:v>
      </x:c>
      <x:c r="B37" s="22" t="str">
        <x:v>Mercado / inteligencia</x:v>
      </x:c>
      <x:c r="C37" s="22" t="str">
        <x:v>06 Market Intelligence</x:v>
      </x:c>
      <x:c r="D37" s="22" t="str">
        <x:v>RFC-VNEXT-MARKET</x:v>
      </x:c>
      <x:c r="E37" s="22" t="str">
        <x:v>Formalizar MarketContext, régimen, freshness y reloj as-of</x:v>
      </x:c>
      <x:c r="F37" s="22" t="str">
        <x:v>PLANIFICADO</x:v>
      </x:c>
      <x:c r="G37" s="22" t="str">
        <x:v>P1</x:v>
      </x:c>
      <x:c r="H37" s="24" t="n">
        <x:v>0.2</x:v>
      </x:c>
      <x:c r="I37" s="22" t="n">
        <x:v>24</x:v>
      </x:c>
      <x:c r="J37" s="22" t="str">
        <x:v>TAP-001; TAP-024</x:v>
      </x:c>
      <x:c r="K37" s="22" t="str">
        <x:v>Reusar indicadores existentes; authority map de llamadas</x:v>
      </x:c>
      <x:c r="L37" s="22" t="str">
        <x:v>VNext arquitectura / planned</x:v>
      </x:c>
      <x:c r="M37" s="22" t="str">
        <x:v>https://github.com/Extr3sao/bot_crypto/issues/12</x:v>
      </x:c>
      <x:c r="N37" s="22" t="str">
        <x:v>Codex</x:v>
      </x:c>
      <x:c r="O37" s="22" t="str"/>
      <x:c r="P37" s="22" t="str"/>
      <x:c r="Q37" s="22" t="str">
        <x:v>2026-10-18</x:v>
      </x:c>
      <x:c r="R37" s="28" t="str">
        <x:v>Auditar componentes existentes; no inventar clases duplicadas.</x:v>
      </x:c>
      <x:c r="S37" s="28" t="str"/>
      <x:c r="T37" s="22" t="str">
        <x:v>DESIGN_ONLY</x:v>
      </x:c>
      <x:c r="U37" s="22" t="str"/>
    </x:row>
    <x:row r="38" ht="31" customHeight="1">
      <x:c r="A38" s="26" t="str">
        <x:v>TAP-033</x:v>
      </x:c>
      <x:c r="B38" s="22" t="str">
        <x:v>Activos</x:v>
      </x:c>
      <x:c r="C38" s="22" t="str">
        <x:v>07 Asset Intelligence</x:v>
      </x:c>
      <x:c r="D38" s="22" t="str">
        <x:v>RFC-VNEXT-ASSET</x:v>
      </x:c>
      <x:c r="E38" s="22" t="str">
        <x:v>AssetContext/AssetState/AssetMemory per asset</x:v>
      </x:c>
      <x:c r="F38" s="22" t="str">
        <x:v>PLANIFICADO</x:v>
      </x:c>
      <x:c r="G38" s="22" t="str">
        <x:v>P1</x:v>
      </x:c>
      <x:c r="H38" s="24" t="n">
        <x:v>0.1</x:v>
      </x:c>
      <x:c r="I38" s="22" t="n">
        <x:v>25</x:v>
      </x:c>
      <x:c r="J38" s="22" t="str">
        <x:v>TAP-032</x:v>
      </x:c>
      <x:c r="K38" s="22" t="str">
        <x:v>Metadata por activo + validación PIT + vendor provenance</x:v>
      </x:c>
      <x:c r="L38" s="22" t="str">
        <x:v>VNext arquitectura / planned</x:v>
      </x:c>
      <x:c r="M38" s="22" t="str">
        <x:v>https://github.com/Extr3sao/bot_crypto/issues/12</x:v>
      </x:c>
      <x:c r="N38" s="22" t="str">
        <x:v>Codex</x:v>
      </x:c>
      <x:c r="O38" s="22" t="str"/>
      <x:c r="P38" s="22" t="str"/>
      <x:c r="Q38" s="22" t="str">
        <x:v>2026-10-18</x:v>
      </x:c>
      <x:c r="R38" s="28" t="str">
        <x:v>Solo implementarlo si route/casos de uso están justificados.</x:v>
      </x:c>
      <x:c r="S38" s="28" t="str"/>
      <x:c r="T38" s="22" t="str">
        <x:v>DESIGN_ONLY</x:v>
      </x:c>
      <x:c r="U38" s="22" t="str"/>
    </x:row>
    <x:row r="39" ht="31" customHeight="1">
      <x:c r="A39" s="26" t="str">
        <x:v>TAP-034</x:v>
      </x:c>
      <x:c r="B39" s="22" t="str">
        <x:v>Estrategias</x:v>
      </x:c>
      <x:c r="C39" s="22" t="str">
        <x:v>08 Strategy Intelligence</x:v>
      </x:c>
      <x:c r="D39" s="22" t="str">
        <x:v>STRATEGY-REGISTRY</x:v>
      </x:c>
      <x:c r="E39" s="22" t="str">
        <x:v>StrategyRegistry y StrategyRouter con SELECTED/REJECTED</x:v>
      </x:c>
      <x:c r="F39" s="22" t="str">
        <x:v>PLANIFICADO</x:v>
      </x:c>
      <x:c r="G39" s="22" t="str">
        <x:v>P1</x:v>
      </x:c>
      <x:c r="H39" s="24" t="n">
        <x:v>0.25</x:v>
      </x:c>
      <x:c r="I39" s="22" t="n">
        <x:v>27</x:v>
      </x:c>
      <x:c r="J39" s="22" t="str">
        <x:v>TAP-032; TAP-033</x:v>
      </x:c>
      <x:c r="K39" s="22" t="str">
        <x:v>Reusar router research si es runtime reachable</x:v>
      </x:c>
      <x:c r="L39" s="22" t="str">
        <x:v>Strategy architecture / partial tests</x:v>
      </x:c>
      <x:c r="M39" s="22" t="str">
        <x:v>https://github.com/Extr3sao/bot_crypto/tree/agent/edge-recovery/WP-EDGE-00-baseline/src/trading_bot/research</x:v>
      </x:c>
      <x:c r="N39" s="22" t="str">
        <x:v>Codex</x:v>
      </x:c>
      <x:c r="O39" s="22" t="str"/>
      <x:c r="P39" s="22" t="str"/>
      <x:c r="Q39" s="22" t="str">
        <x:v>2026-10-18</x:v>
      </x:c>
      <x:c r="R39" s="28" t="str">
        <x:v>Auditar TEST_ONLY vs RUNTIME_REACHABLE antes de implementar.</x:v>
      </x:c>
      <x:c r="S39" s="28" t="str"/>
      <x:c r="T39" s="22" t="str">
        <x:v>SOURCE_AND_DESIGN</x:v>
      </x:c>
      <x:c r="U39" s="22" t="str">
        <x:v>En historia del proyecto se reportó router puro, pero falta certificación reachability.</x:v>
      </x:c>
    </x:row>
    <x:row r="40" ht="31" customHeight="1">
      <x:c r="A40" s="26" t="str">
        <x:v>TAP-035</x:v>
      </x:c>
      <x:c r="B40" s="22" t="str">
        <x:v>Estrategias</x:v>
      </x:c>
      <x:c r="C40" s="22" t="str">
        <x:v>08 Strategy Intelligence</x:v>
      </x:c>
      <x:c r="D40" s="22" t="str">
        <x:v>STRATEGY-ADMISSION</x:v>
      </x:c>
      <x:c r="E40" s="22" t="str">
        <x:v>Candidate → Backtest → OOS → Paper → Shadow → Canary</x:v>
      </x:c>
      <x:c r="F40" s="22" t="str">
        <x:v>PENDIENTE</x:v>
      </x:c>
      <x:c r="G40" s="22" t="str">
        <x:v>P0</x:v>
      </x:c>
      <x:c r="H40" s="24" t="n">
        <x:v>0.2</x:v>
      </x:c>
      <x:c r="I40" s="22" t="n">
        <x:v>22</x:v>
      </x:c>
      <x:c r="J40" s="22" t="str">
        <x:v>TAP-003; TAP-034</x:v>
      </x:c>
      <x:c r="K40" s="22" t="str">
        <x:v>Sin estrategia promovida al runtime (admission actual vacía)</x:v>
      </x:c>
      <x:c r="L40" s="22" t="str">
        <x:v>EDGE-017 FINAL_REPORT</x:v>
      </x:c>
      <x:c r="M40" s="22" t="str">
        <x:v>https://github.com/Extr3sao/bot_crypto/blob/agent/edge-recovery/WP-EDGE-00-baseline/reports/economic-recovery/RFC-EDGE-017/FINAL_REPORT.md</x:v>
      </x:c>
      <x:c r="N40" s="22" t="str">
        <x:v>Codex</x:v>
      </x:c>
      <x:c r="O40" s="22" t="str"/>
      <x:c r="P40" s="22" t="str"/>
      <x:c r="Q40" s="22" t="str">
        <x:v>2026-10-18</x:v>
      </x:c>
      <x:c r="R40" s="28" t="str">
        <x:v>Congelar criterios de admisión, comprobar gates/costes y promover solo con evidencia.</x:v>
      </x:c>
      <x:c r="S40" s="28" t="str">
        <x:v>Aún 0 estrategias admitidas.</x:v>
      </x:c>
      <x:c r="T40" s="22" t="str">
        <x:v>REPO_REPORT</x:v>
      </x:c>
      <x:c r="U40" s="22" t="str"/>
    </x:row>
    <x:row r="41" ht="31" customHeight="1">
      <x:c r="A41" s="26" t="str">
        <x:v>TAP-036</x:v>
      </x:c>
      <x:c r="B41" s="22" t="str">
        <x:v>Estrategias</x:v>
      </x:c>
      <x:c r="C41" s="22" t="str">
        <x:v>08 Strategy Intelligence</x:v>
      </x:c>
      <x:c r="D41" s="22" t="str">
        <x:v>EDGE-016/017</x:v>
      </x:c>
      <x:c r="E41" s="22" t="str">
        <x:v>Ensayos netos de baseline 1x/2x/3x + restricciones</x:v>
      </x:c>
      <x:c r="F41" s="22" t="str">
        <x:v>VERIFICADO_FOCAL</x:v>
      </x:c>
      <x:c r="G41" s="22" t="str">
        <x:v>P0</x:v>
      </x:c>
      <x:c r="H41" s="24" t="n">
        <x:v>1</x:v>
      </x:c>
      <x:c r="I41" s="22" t="n">
        <x:v>12</x:v>
      </x:c>
      <x:c r="J41" s="22" t="str">
        <x:v>TAP-003</x:v>
      </x:c>
      <x:c r="K41" s="22" t="str">
        <x:v>1x -238.7705, 2x -425.6923, 3x -500.5718 USDT</x:v>
      </x:c>
      <x:c r="L41" s="22" t="str">
        <x:v>NET_RISK_REPLAY.json</x:v>
      </x:c>
      <x:c r="M41" s="22" t="str">
        <x:v>https://github.com/Extr3sao/bot_crypto/blob/agent/edge-recovery/WP-EDGE-00-baseline/reports/economic-recovery/RFC-EDGE-017/NET_RISK_REPLAY.json</x:v>
      </x:c>
      <x:c r="N41" s="22" t="str">
        <x:v>Codex</x:v>
      </x:c>
      <x:c r="O41" s="22" t="str"/>
      <x:c r="P41" s="22" t="str"/>
      <x:c r="Q41" s="22" t="str">
        <x:v>2026-10-18</x:v>
      </x:c>
      <x:c r="R41" s="28" t="str"/>
      <x:c r="S41" s="28" t="str"/>
      <x:c r="T41" s="22" t="str">
        <x:v>REPO_REPORT</x:v>
      </x:c>
      <x:c r="U41" s="22" t="str">
        <x:v>Replay histórico determinista NO edge positivo.</x:v>
      </x:c>
    </x:row>
    <x:row r="42" ht="31" customHeight="1">
      <x:c r="A42" s="26" t="str">
        <x:v>TAP-037</x:v>
      </x:c>
      <x:c r="B42" s="22" t="str">
        <x:v>Estrategias</x:v>
      </x:c>
      <x:c r="C42" s="22" t="str">
        <x:v>08 Strategy Intelligence</x:v>
      </x:c>
      <x:c r="D42" s="22" t="str">
        <x:v>EDGE-017</x:v>
      </x:c>
      <x:c r="E42" s="22" t="str">
        <x:v>Captura prospectiva manual 24/24 barras BTC/ETH/SOL</x:v>
      </x:c>
      <x:c r="F42" s="22" t="str">
        <x:v>VERIFICADO_FOCAL</x:v>
      </x:c>
      <x:c r="G42" s="22" t="str">
        <x:v>P1</x:v>
      </x:c>
      <x:c r="H42" s="24" t="n">
        <x:v>1</x:v>
      </x:c>
      <x:c r="I42" s="22" t="n">
        <x:v>13</x:v>
      </x:c>
      <x:c r="J42" s="22" t="str">
        <x:v>TAP-001</x:v>
      </x:c>
      <x:c r="K42" s="22" t="str">
        <x:v>6 recibidas al cierre; 18 recuperadas; 0 operaciones</x:v>
      </x:c>
      <x:c r="L42" s="22" t="str">
        <x:v>CAPTURE_INTEGRITY / EDGE-017</x:v>
      </x:c>
      <x:c r="M42" s="22" t="str">
        <x:v>https://github.com/Extr3sao/bot_crypto/blob/agent/edge-recovery/WP-EDGE-00-baseline/reports/economic-recovery/RFC-EDGE-017/FINAL_REPORT.md</x:v>
      </x:c>
      <x:c r="N42" s="22" t="str">
        <x:v>Codex</x:v>
      </x:c>
      <x:c r="O42" s="22" t="str"/>
      <x:c r="P42" s="22" t="str"/>
      <x:c r="Q42" s="22" t="str">
        <x:v>2026-10-18</x:v>
      </x:c>
      <x:c r="R42" s="28" t="str"/>
      <x:c r="S42" s="28" t="str"/>
      <x:c r="T42" s="22" t="str">
        <x:v>REPO_REPORT</x:v>
      </x:c>
      <x:c r="U42" s="22" t="str">
        <x:v>Manual ≠ captura continua; 9 evaluadas sin propuesta.</x:v>
      </x:c>
    </x:row>
    <x:row r="43" ht="31" customHeight="1">
      <x:c r="A43" s="26" t="str">
        <x:v>TAP-038</x:v>
      </x:c>
      <x:c r="B43" s="22" t="str">
        <x:v>Estrategias</x:v>
      </x:c>
      <x:c r="C43" s="22" t="str">
        <x:v>08 Strategy Intelligence</x:v>
      </x:c>
      <x:c r="D43" s="22" t="str">
        <x:v>TAP-EDGE-001</x:v>
      </x:c>
      <x:c r="E43" s="22" t="str">
        <x:v>Experimentos INTRA-A breakout 15m / 1h bajo registro</x:v>
      </x:c>
      <x:c r="F43" s="22" t="str">
        <x:v>PLANIFICADO</x:v>
      </x:c>
      <x:c r="G43" s="22" t="str">
        <x:v>P1</x:v>
      </x:c>
      <x:c r="H43" s="24" t="n">
        <x:v>0</x:v>
      </x:c>
      <x:c r="I43" s="22" t="n">
        <x:v>26</x:v>
      </x:c>
      <x:c r="J43" s="22" t="str">
        <x:v>TAP-035</x:v>
      </x:c>
      <x:c r="K43" s="22" t="str">
        <x:v>GATE test PIT + OOS + costes; no promociones automáticas</x:v>
      </x:c>
      <x:c r="L43" s="22" t="str">
        <x:v>RFC-TAP-EDGE-001</x:v>
      </x:c>
      <x:c r="M43" s="22" t="str">
        <x:v>https://github.com/Extr3sao/bot_crypto/issues/10</x:v>
      </x:c>
      <x:c r="N43" s="22" t="str">
        <x:v>Codex</x:v>
      </x:c>
      <x:c r="O43" s="22" t="str"/>
      <x:c r="P43" s="22" t="str"/>
      <x:c r="Q43" s="22" t="str">
        <x:v>2026-10-18</x:v>
      </x:c>
      <x:c r="R43" s="28" t="str">
        <x:v>Contrastarlo con código y candidatos ya existentes.</x:v>
      </x:c>
      <x:c r="S43" s="28" t="str"/>
      <x:c r="T43" s="22" t="str">
        <x:v>DESIGN_ONLY</x:v>
      </x:c>
      <x:c r="U43" s="22" t="str"/>
    </x:row>
    <x:row r="44" ht="31" customHeight="1">
      <x:c r="A44" s="26" t="str">
        <x:v>TAP-039</x:v>
      </x:c>
      <x:c r="B44" s="22" t="str">
        <x:v>Estrategias</x:v>
      </x:c>
      <x:c r="C44" s="22" t="str">
        <x:v>08 Strategy Intelligence</x:v>
      </x:c>
      <x:c r="D44" s="22" t="str">
        <x:v>TAP-EDGE-001</x:v>
      </x:c>
      <x:c r="E44" s="22" t="str">
        <x:v>Experimentos INTRA-B retest/FVG confirmada</x:v>
      </x:c>
      <x:c r="F44" s="22" t="str">
        <x:v>PLANIFICADO</x:v>
      </x:c>
      <x:c r="G44" s="22" t="str">
        <x:v>P1</x:v>
      </x:c>
      <x:c r="H44" s="24" t="n">
        <x:v>0</x:v>
      </x:c>
      <x:c r="I44" s="22" t="n">
        <x:v>28</x:v>
      </x:c>
      <x:c r="J44" s="22" t="str">
        <x:v>TAP-038</x:v>
      </x:c>
      <x:c r="K44" s="22" t="str">
        <x:v>Medir A/B B-sin-FVG, lookahead y fricción</x:v>
      </x:c>
      <x:c r="L44" s="22" t="str">
        <x:v>RFC-TAP-EDGE-001</x:v>
      </x:c>
      <x:c r="M44" s="22" t="str">
        <x:v>https://github.com/Extr3sao/bot_crypto/issues/10</x:v>
      </x:c>
      <x:c r="N44" s="22" t="str">
        <x:v>Codex</x:v>
      </x:c>
      <x:c r="O44" s="22" t="str"/>
      <x:c r="P44" s="22" t="str"/>
      <x:c r="Q44" s="22" t="str">
        <x:v>2026-10-18</x:v>
      </x:c>
      <x:c r="R44" s="28" t="str">
        <x:v>Implementar solo tras baseline de INTRA-A.</x:v>
      </x:c>
      <x:c r="S44" s="28" t="str"/>
      <x:c r="T44" s="22" t="str">
        <x:v>DESIGN_ONLY</x:v>
      </x:c>
      <x:c r="U44" s="22" t="str"/>
    </x:row>
    <x:row r="45" ht="31" customHeight="1">
      <x:c r="A45" s="26" t="str">
        <x:v>TAP-040</x:v>
      </x:c>
      <x:c r="B45" s="22" t="str">
        <x:v>Estrategias</x:v>
      </x:c>
      <x:c r="C45" s="22" t="str">
        <x:v>08 Strategy Intelligence</x:v>
      </x:c>
      <x:c r="D45" s="22" t="str">
        <x:v>TAP-EDGE-001</x:v>
      </x:c>
      <x:c r="E45" s="22" t="str">
        <x:v>TREND-C 4h/1d y benchmarks BUY&amp;HOLD/CASH</x:v>
      </x:c>
      <x:c r="F45" s="22" t="str">
        <x:v>PLANIFICADO</x:v>
      </x:c>
      <x:c r="G45" s="22" t="str">
        <x:v>P1</x:v>
      </x:c>
      <x:c r="H45" s="24" t="n">
        <x:v>0</x:v>
      </x:c>
      <x:c r="I45" s="22" t="n">
        <x:v>28</x:v>
      </x:c>
      <x:c r="J45" s="22" t="str">
        <x:v>TAP-038</x:v>
      </x:c>
      <x:c r="K45" s="22" t="str">
        <x:v>No forzar operaciones en estrategias low-frequency</x:v>
      </x:c>
      <x:c r="L45" s="22" t="str">
        <x:v>RFC-TAP-EDGE-001</x:v>
      </x:c>
      <x:c r="M45" s="22" t="str">
        <x:v>https://github.com/Extr3sao/bot_crypto/issues/10</x:v>
      </x:c>
      <x:c r="N45" s="22" t="str">
        <x:v>Codex</x:v>
      </x:c>
      <x:c r="O45" s="22" t="str"/>
      <x:c r="P45" s="22" t="str"/>
      <x:c r="Q45" s="22" t="str">
        <x:v>2026-10-18</x:v>
      </x:c>
      <x:c r="R45" s="28" t="str">
        <x:v>Ablation matched assets/capital y fees.</x:v>
      </x:c>
      <x:c r="S45" s="28" t="str"/>
      <x:c r="T45" s="22" t="str">
        <x:v>DESIGN_ONLY</x:v>
      </x:c>
      <x:c r="U45" s="22" t="str"/>
    </x:row>
    <x:row r="46" ht="31" customHeight="1">
      <x:c r="A46" s="26" t="str">
        <x:v>TAP-041</x:v>
      </x:c>
      <x:c r="B46" s="22" t="str">
        <x:v>Rentabilidad</x:v>
      </x:c>
      <x:c r="C46" s="22" t="str">
        <x:v>13 Agent Utility</x:v>
      </x:c>
      <x:c r="D46" s="22" t="str">
        <x:v>EDGE-OOS</x:v>
      </x:c>
      <x:c r="E46" s="22" t="str">
        <x:v>Diseñar campañas OOS con múltiples regímenes y sobreajuste controlado</x:v>
      </x:c>
      <x:c r="F46" s="22" t="str">
        <x:v>PENDIENTE</x:v>
      </x:c>
      <x:c r="G46" s="22" t="str">
        <x:v>P0</x:v>
      </x:c>
      <x:c r="H46" s="24" t="n">
        <x:v>0.15</x:v>
      </x:c>
      <x:c r="I46" s="22" t="n">
        <x:v>28</x:v>
      </x:c>
      <x:c r="J46" s="22" t="str">
        <x:v>TAP-035; TAP-036</x:v>
      </x:c>
      <x:c r="K46" s="22" t="str">
        <x:v>PnL NETO positivo ROBUSTO por estrategia antes de promoción</x:v>
      </x:c>
      <x:c r="L46" s="22" t="str">
        <x:v>EDGE-017 neto negativo</x:v>
      </x:c>
      <x:c r="M46" s="22" t="str">
        <x:v>https://github.com/Extr3sao/bot_crypto/issues/10</x:v>
      </x:c>
      <x:c r="N46" s="22" t="str">
        <x:v>Codex</x:v>
      </x:c>
      <x:c r="O46" s="22" t="str"/>
      <x:c r="P46" s="22" t="str"/>
      <x:c r="Q46" s="22" t="str">
        <x:v>2026-10-18</x:v>
      </x:c>
      <x:c r="R46" s="28" t="str">
        <x:v>Experiment spec preregistrada y OOS intocado.</x:v>
      </x:c>
      <x:c r="S46" s="28" t="str">
        <x:v>La rentabilidad actual no está demostrada.</x:v>
      </x:c>
      <x:c r="T46" s="22" t="str">
        <x:v>REPO_REPORT</x:v>
      </x:c>
      <x:c r="U46" s="22" t="str"/>
    </x:row>
    <x:row r="47" ht="31" customHeight="1">
      <x:c r="A47" s="26" t="str">
        <x:v>TAP-042</x:v>
      </x:c>
      <x:c r="B47" s="22" t="str">
        <x:v>Rentabilidad</x:v>
      </x:c>
      <x:c r="C47" s="22" t="str">
        <x:v>13 Agent Utility</x:v>
      </x:c>
      <x:c r="D47" s="22" t="str">
        <x:v>GOAL-ACTIVE</x:v>
      </x:c>
      <x:c r="E47" s="22" t="str">
        <x:v>Objetivo ACTIVE &gt;=3 fills/día, 7d/semana cripto (sin forzar señales)</x:v>
      </x:c>
      <x:c r="F47" s="22" t="str">
        <x:v>BLOQUEADO</x:v>
      </x:c>
      <x:c r="G47" s="22" t="str">
        <x:v>P1</x:v>
      </x:c>
      <x:c r="H47" s="24" t="n">
        <x:v>0</x:v>
      </x:c>
      <x:c r="I47" s="22" t="n">
        <x:v>40</x:v>
      </x:c>
      <x:c r="J47" s="22" t="str">
        <x:v>TAP-035; TAP-041</x:v>
      </x:c>
      <x:c r="K47" s="22" t="str">
        <x:v>Frecuencia cada día sin sacrificar calidad ni riesgo</x:v>
      </x:c>
      <x:c r="L47" s="22" t="str">
        <x:v>Objetivo de producto; aún sin validación</x:v>
      </x:c>
      <x:c r="M47" s="22" t="str">
        <x:v>https://github.com/Extr3sao/bot_crypto/issues/10</x:v>
      </x:c>
      <x:c r="N47" s="22" t="str">
        <x:v>Usuario (policy) + Quant</x:v>
      </x:c>
      <x:c r="O47" s="22" t="str"/>
      <x:c r="P47" s="22" t="str"/>
      <x:c r="Q47" s="22" t="str">
        <x:v>2026-10-18</x:v>
      </x:c>
      <x:c r="R47" s="28" t="str">
        <x:v>Medir días sin fills en PAPER; evaluar universos; política 7/7 separada.</x:v>
      </x:c>
      <x:c r="S47" s="28" t="str">
        <x:v>weekend_trading=false, sin edge y sin estrategia admitida.</x:v>
      </x:c>
      <x:c r="T47" s="22" t="str">
        <x:v>USER_GOAL</x:v>
      </x:c>
      <x:c r="U47" s="22" t="str">
        <x:v>R6 P2 QUALITY permanece separado como estrategia baja frecuencia.</x:v>
      </x:c>
    </x:row>
    <x:row r="48" ht="31" customHeight="1">
      <x:c r="A48" s="26" t="str">
        <x:v>TAP-043</x:v>
      </x:c>
      <x:c r="B48" s="22" t="str">
        <x:v>Observabilidad</x:v>
      </x:c>
      <x:c r="C48" s="22" t="str">
        <x:v>12 Observabilidad</x:v>
      </x:c>
      <x:c r="D48" s="22" t="str">
        <x:v>DECISION-TRACE</x:v>
      </x:c>
      <x:c r="E48" s="22" t="str">
        <x:v>DecisionTrace/Reconciliation + replay(run_id) transversal</x:v>
      </x:c>
      <x:c r="F48" s="22" t="str">
        <x:v>PLANIFICADO</x:v>
      </x:c>
      <x:c r="G48" s="22" t="str">
        <x:v>P1</x:v>
      </x:c>
      <x:c r="H48" s="24" t="n">
        <x:v>0.45</x:v>
      </x:c>
      <x:c r="I48" s="22" t="n">
        <x:v>29</x:v>
      </x:c>
      <x:c r="J48" s="22" t="str">
        <x:v>TAP-004; TAP-020</x:v>
      </x:c>
      <x:c r="K48" s="22" t="str">
        <x:v>Algunos ledgers locales existen; falta replay E2E unified</x:v>
      </x:c>
      <x:c r="L48" s="22" t="str">
        <x:v>Arquitectura VNext</x:v>
      </x:c>
      <x:c r="M48" s="22" t="str">
        <x:v>https://github.com/Extr3sao/bot_crypto/issues/12</x:v>
      </x:c>
      <x:c r="N48" s="22" t="str">
        <x:v>Codex</x:v>
      </x:c>
      <x:c r="O48" s="22" t="str"/>
      <x:c r="P48" s="22" t="str"/>
      <x:c r="Q48" s="22" t="str">
        <x:v>2026-10-18</x:v>
      </x:c>
      <x:c r="R48" s="28" t="str">
        <x:v>Alinear IDs, clocks, price evidence; no duplicar ledger.</x:v>
      </x:c>
      <x:c r="S48" s="28" t="str"/>
      <x:c r="T48" s="22" t="str">
        <x:v>DESIGN_AND_PARTIAL_SOURCE</x:v>
      </x:c>
      <x:c r="U48" s="22" t="str"/>
    </x:row>
    <x:row r="49" ht="31" customHeight="1">
      <x:c r="A49" s="26" t="str">
        <x:v>TAP-044</x:v>
      </x:c>
      <x:c r="B49" s="22" t="str">
        <x:v>Orquestación</x:v>
      </x:c>
      <x:c r="C49" s="22" t="str">
        <x:v>03 Runtime Authority</x:v>
      </x:c>
      <x:c r="D49" s="22" t="str">
        <x:v>MASTER-ORCH</x:v>
      </x:c>
      <x:c r="E49" s="22" t="str">
        <x:v>Mapear Master Orchestrator runtime real, fallos/resume y gates</x:v>
      </x:c>
      <x:c r="F49" s="22" t="str">
        <x:v>PLANIFICADO</x:v>
      </x:c>
      <x:c r="G49" s="22" t="str">
        <x:v>P1</x:v>
      </x:c>
      <x:c r="H49" s="24" t="n">
        <x:v>0.15</x:v>
      </x:c>
      <x:c r="I49" s="22" t="n">
        <x:v>32</x:v>
      </x:c>
      <x:c r="J49" s="22" t="str">
        <x:v>TAP-001</x:v>
      </x:c>
      <x:c r="K49" s="22" t="str">
        <x:v>StateGraph opcional; no copiar frameworks completos</x:v>
      </x:c>
      <x:c r="L49" s="22" t="str">
        <x:v>VNext arquitectura / propuesta</x:v>
      </x:c>
      <x:c r="M49" s="22" t="str">
        <x:v>https://github.com/Extr3sao/bot_crypto/issues/14</x:v>
      </x:c>
      <x:c r="N49" s="22" t="str">
        <x:v>Codex</x:v>
      </x:c>
      <x:c r="O49" s="22" t="str"/>
      <x:c r="P49" s="22" t="str"/>
      <x:c r="Q49" s="22" t="str">
        <x:v>2026-10-18</x:v>
      </x:c>
      <x:c r="R49" s="28" t="str">
        <x:v>Auditar entrypoint reachability, estado y retry antes de RFC.</x:v>
      </x:c>
      <x:c r="S49" s="28" t="str"/>
      <x:c r="T49" s="22" t="str">
        <x:v>DESIGN_ONLY</x:v>
      </x:c>
      <x:c r="U49" s="22" t="str"/>
    </x:row>
    <x:row r="50" ht="31" customHeight="1">
      <x:c r="A50" s="26" t="str">
        <x:v>TAP-045</x:v>
      </x:c>
      <x:c r="B50" s="22" t="str">
        <x:v>Comunicación</x:v>
      </x:c>
      <x:c r="C50" s="22" t="str">
        <x:v>05 Communication</x:v>
      </x:c>
      <x:c r="D50" s="22" t="str">
        <x:v>AGENT-MESSAGES</x:v>
      </x:c>
      <x:c r="E50" s="22" t="str">
        <x:v>Contrato AgentMessage tipado y evidence/counter-evidence</x:v>
      </x:c>
      <x:c r="F50" s="22" t="str">
        <x:v>PLANIFICADO</x:v>
      </x:c>
      <x:c r="G50" s="22" t="str">
        <x:v>P1</x:v>
      </x:c>
      <x:c r="H50" s="24" t="n">
        <x:v>0.15</x:v>
      </x:c>
      <x:c r="I50" s="22" t="n">
        <x:v>32</x:v>
      </x:c>
      <x:c r="J50" s="22" t="str">
        <x:v>TAP-029; TAP-044</x:v>
      </x:c>
      <x:c r="K50" s="22" t="str">
        <x:v>No chat libre multiagent sin ID, receipt, permiso</x:v>
      </x:c>
      <x:c r="L50" s="22" t="str">
        <x:v>Arquitectura VNext / propuesta</x:v>
      </x:c>
      <x:c r="M50" s="22" t="str">
        <x:v>https://github.com/Extr3sao/bot_crypto/issues/14</x:v>
      </x:c>
      <x:c r="N50" s="22" t="str">
        <x:v>Codex</x:v>
      </x:c>
      <x:c r="O50" s="22" t="str"/>
      <x:c r="P50" s="22" t="str"/>
      <x:c r="Q50" s="22" t="str">
        <x:v>2026-10-18</x:v>
      </x:c>
      <x:c r="R50" s="28" t="str">
        <x:v>Integrar en crítico si demuestra función ortogonal.</x:v>
      </x:c>
      <x:c r="S50" s="28" t="str"/>
      <x:c r="T50" s="22" t="str">
        <x:v>DESIGN_ONLY</x:v>
      </x:c>
      <x:c r="U50" s="22" t="str"/>
    </x:row>
    <x:row r="51" ht="31" customHeight="1">
      <x:c r="A51" s="26" t="str">
        <x:v>TAP-046</x:v>
      </x:c>
      <x:c r="B51" s="22" t="str">
        <x:v>Memoria</x:v>
      </x:c>
      <x:c r="C51" s="22" t="str">
        <x:v>11 Memory</x:v>
      </x:c>
      <x:c r="D51" s="22" t="str">
        <x:v>MEMORY-VNEXT</x:v>
      </x:c>
      <x:c r="E51" s="22" t="str">
        <x:v>Separar Working/Market/Asset/Trade/Failure/Research Memory</x:v>
      </x:c>
      <x:c r="F51" s="22" t="str">
        <x:v>PLANIFICADO</x:v>
      </x:c>
      <x:c r="G51" s="22" t="str">
        <x:v>P2</x:v>
      </x:c>
      <x:c r="H51" s="24" t="n">
        <x:v>0</x:v>
      </x:c>
      <x:c r="I51" s="22" t="n">
        <x:v>46</x:v>
      </x:c>
      <x:c r="J51" s="22" t="str">
        <x:v>TAP-043</x:v>
      </x:c>
      <x:c r="K51" s="22" t="str">
        <x:v>Memoria no cambia risk/execution ni aprende de una pérdida sola</x:v>
      </x:c>
      <x:c r="L51" s="22" t="str">
        <x:v>Arquitectura VNext / propuesta</x:v>
      </x:c>
      <x:c r="M51" s="22" t="str">
        <x:v>https://github.com/Extr3sao/bot_crypto/issues/14</x:v>
      </x:c>
      <x:c r="N51" s="22" t="str">
        <x:v>Codex</x:v>
      </x:c>
      <x:c r="O51" s="22" t="str"/>
      <x:c r="P51" s="22" t="str"/>
      <x:c r="Q51" s="22" t="str">
        <x:v>2026-10-18</x:v>
      </x:c>
      <x:c r="R51" s="28" t="str">
        <x:v>Comenzar con post-trade lessons offline, sin auto-promoción.</x:v>
      </x:c>
      <x:c r="S51" s="28" t="str"/>
      <x:c r="T51" s="22" t="str">
        <x:v>DESIGN_ONLY</x:v>
      </x:c>
      <x:c r="U51" s="22" t="str"/>
    </x:row>
    <x:row r="52" ht="31" customHeight="1">
      <x:c r="A52" s="26" t="str">
        <x:v>TAP-047</x:v>
      </x:c>
      <x:c r="B52" s="22" t="str">
        <x:v>Prompts &amp; modelos</x:v>
      </x:c>
      <x:c r="C52" s="22" t="str">
        <x:v>04 Foundation</x:v>
      </x:c>
      <x:c r="D52" s="22" t="str">
        <x:v>PROMPT-REGISTRY</x:v>
      </x:c>
      <x:c r="E52" s="22" t="str">
        <x:v>Versionar prompts y tests prompt-injection/authority/missing evidence</x:v>
      </x:c>
      <x:c r="F52" s="22" t="str">
        <x:v>PLANIFICADO</x:v>
      </x:c>
      <x:c r="G52" s="22" t="str">
        <x:v>P1</x:v>
      </x:c>
      <x:c r="H52" s="24" t="n">
        <x:v>0.4</x:v>
      </x:c>
      <x:c r="I52" s="22" t="n">
        <x:v>26</x:v>
      </x:c>
      <x:c r="J52" s="22" t="str">
        <x:v>TAP-012; TAP-029</x:v>
      </x:c>
      <x:c r="K52" s="22" t="str">
        <x:v>Prompt versions existen en VIS/CTX; falta governance transversal</x:v>
      </x:c>
      <x:c r="L52" s="22" t="str">
        <x:v>Codex fuentes prompt v1/v2</x:v>
      </x:c>
      <x:c r="M52" s="22" t="str">
        <x:v>https://github.com/Extr3sao/bot_crypto/tree/agent/ai-bots/RFC-TAP-AI-BOTS-003/src/trading_bot/vision</x:v>
      </x:c>
      <x:c r="N52" s="22" t="str">
        <x:v>Codex</x:v>
      </x:c>
      <x:c r="O52" s="22" t="str"/>
      <x:c r="P52" s="22" t="str"/>
      <x:c r="Q52" s="22" t="str">
        <x:v>2026-10-18</x:v>
      </x:c>
      <x:c r="R52" s="28" t="str">
        <x:v>Fijar schema + versiones + evaluación coste/latencia.</x:v>
      </x:c>
      <x:c r="S52" s="28" t="str"/>
      <x:c r="T52" s="22" t="str">
        <x:v>PARTIAL_SOURCE</x:v>
      </x:c>
      <x:c r="U52" s="22" t="str"/>
    </x:row>
    <x:row r="53" ht="31" customHeight="1">
      <x:c r="A53" s="26" t="str">
        <x:v>TAP-048</x:v>
      </x:c>
      <x:c r="B53" s="22" t="str">
        <x:v>Infra &amp; CI</x:v>
      </x:c>
      <x:c r="C53" s="22" t="str">
        <x:v>03 Runtime Authority</x:v>
      </x:c>
      <x:c r="D53" s="22" t="str">
        <x:v>FULL-UNIT-GATE</x:v>
      </x:c>
      <x:c r="E53" s="22" t="str">
        <x:v>Suite global reproducible, atribución de fallos y CI en commit</x:v>
      </x:c>
      <x:c r="F53" s="22" t="str">
        <x:v>BLOQUEADO</x:v>
      </x:c>
      <x:c r="G53" s="22" t="str">
        <x:v>P0</x:v>
      </x:c>
      <x:c r="H53" s="24" t="n">
        <x:v>0.25</x:v>
      </x:c>
      <x:c r="I53" s="22" t="n">
        <x:v>16</x:v>
      </x:c>
      <x:c r="J53" s="22" t="str">
        <x:v>TAP-005; TAP-020</x:v>
      </x:c>
      <x:c r="K53" s="22" t="str">
        <x:v>EDGE-017 full 4070 PASS/14 FAIL; AI branch global NO ejecutada</x:v>
      </x:c>
      <x:c r="L53" s="22" t="str">
        <x:v>EDGE-017 RUN_REPORT + issues</x:v>
      </x:c>
      <x:c r="M53" s="22" t="str">
        <x:v>https://github.com/Extr3sao/bot_crypto/blob/agent/edge-recovery/WP-EDGE-00-baseline/reports/economic-recovery/RFC-EDGE-017/FINAL_REPORT.md</x:v>
      </x:c>
      <x:c r="N53" s="22" t="str">
        <x:v>Codex</x:v>
      </x:c>
      <x:c r="O53" s="22" t="str"/>
      <x:c r="P53" s="22" t="str"/>
      <x:c r="Q53" s="22" t="str">
        <x:v>2026-10-18</x:v>
      </x:c>
      <x:c r="R53" s="28" t="str">
        <x:v>Separar worktree limpio, reparar 14 tests por owner y ejecutar CI.</x:v>
      </x:c>
      <x:c r="S53" s="28" t="str">
        <x:v>14 FAIL previos en EDGE, ~180 archivos concurrentes sucios en local.</x:v>
      </x:c>
      <x:c r="T53" s="22" t="str">
        <x:v>REPO_REPORT</x:v>
      </x:c>
      <x:c r="U53" s="22" t="str"/>
    </x:row>
    <x:row r="54" ht="31" customHeight="1">
      <x:c r="A54" s="26" t="str">
        <x:v>TAP-049</x:v>
      </x:c>
      <x:c r="B54" s="22" t="str">
        <x:v>Infra &amp; CI</x:v>
      </x:c>
      <x:c r="C54" s="22" t="str">
        <x:v>14 Paper</x:v>
      </x:c>
      <x:c r="D54" s="22" t="str">
        <x:v>SCHEDULER-CAPTURE</x:v>
      </x:c>
      <x:c r="E54" s="22" t="str">
        <x:v>Scheduler seguro para captura prospectiva continua y reinicio</x:v>
      </x:c>
      <x:c r="F54" s="22" t="str">
        <x:v>BLOQUEADO</x:v>
      </x:c>
      <x:c r="G54" s="22" t="str">
        <x:v>P0</x:v>
      </x:c>
      <x:c r="H54" s="24" t="n">
        <x:v>0.1</x:v>
      </x:c>
      <x:c r="I54" s="22" t="n">
        <x:v>21</x:v>
      </x:c>
      <x:c r="J54" s="22" t="str">
        <x:v>TAP-037; TAP-024</x:v>
      </x:c>
      <x:c r="K54" s="22" t="str">
        <x:v>24 barras fueron capturadas manualmente</x:v>
      </x:c>
      <x:c r="L54" s="22" t="str">
        <x:v>EDGE-017 / no scheduled task</x:v>
      </x:c>
      <x:c r="M54" s="22" t="str">
        <x:v>https://github.com/Extr3sao/bot_crypto/blob/agent/edge-recovery/WP-EDGE-00-baseline/reports/economic-recovery/RFC-EDGE-017/FINAL_REPORT.md</x:v>
      </x:c>
      <x:c r="N54" s="22" t="str">
        <x:v>Codex</x:v>
      </x:c>
      <x:c r="O54" s="22" t="str"/>
      <x:c r="P54" s="22" t="str"/>
      <x:c r="Q54" s="22" t="str">
        <x:v>2026-10-18</x:v>
      </x:c>
      <x:c r="R54" s="28" t="str">
        <x:v>Preparar launcher sin admin; acción privilegiada solo con autorización.</x:v>
      </x:c>
      <x:c r="S54" s="28" t="str">
        <x:v>Tarea Windows requiere permisos admin o alternativa de usuario.</x:v>
      </x:c>
      <x:c r="T54" s="22" t="str">
        <x:v>REPO_REPORT</x:v>
      </x:c>
      <x:c r="U54" s="22" t="str"/>
    </x:row>
    <x:row r="55" ht="31" customHeight="1">
      <x:c r="A55" s="26" t="str">
        <x:v>TAP-050</x:v>
      </x:c>
      <x:c r="B55" s="22" t="str">
        <x:v>Infra &amp; CI</x:v>
      </x:c>
      <x:c r="C55" s="22" t="str">
        <x:v>03 Runtime Authority</x:v>
      </x:c>
      <x:c r="D55" s="22" t="str">
        <x:v>DISK-CAPACITY</x:v>
      </x:c>
      <x:c r="E55" s="22" t="str">
        <x:v>Liberar espacio de disco preservando worktrees y evidencias</x:v>
      </x:c>
      <x:c r="F55" s="22" t="str">
        <x:v>BLOQUEADO</x:v>
      </x:c>
      <x:c r="G55" s="22" t="str">
        <x:v>P0</x:v>
      </x:c>
      <x:c r="H55" s="24" t="n">
        <x:v>0</x:v>
      </x:c>
      <x:c r="I55" s="22" t="n">
        <x:v>13</x:v>
      </x:c>
      <x:c r="J55" s="22" t="str"/>
      <x:c r="K55" s="22" t="str">
        <x:v>Host históricamente ~99% usado; sin medición actual</x:v>
      </x:c>
      <x:c r="L55" s="22" t="str">
        <x:v>EDGE-017 (4.2GB libre histórico)</x:v>
      </x:c>
      <x:c r="M55" s="22" t="str">
        <x:v>https://github.com/Extr3sao/bot_crypto/blob/agent/edge-recovery/WP-EDGE-00-baseline/reports/economic-recovery/RFC-EDGE-017/FINAL_REPORT.md</x:v>
      </x:c>
      <x:c r="N55" s="22" t="str">
        <x:v>Usuario / Codex preflight</x:v>
      </x:c>
      <x:c r="O55" s="22" t="str"/>
      <x:c r="P55" s="22" t="str"/>
      <x:c r="Q55" s="22" t="str">
        <x:v>2026-10-18</x:v>
      </x:c>
      <x:c r="R55" s="28" t="str">
        <x:v>Medir espacio en runtime al reanudar; limpiar solo temporales autorizados.</x:v>
      </x:c>
      <x:c r="S55" s="28" t="str">
        <x:v>No hay lectura actual del disco; dato anterior no es live.</x:v>
      </x:c>
      <x:c r="T55" s="22" t="str">
        <x:v>HISTORICAL_REPORT</x:v>
      </x:c>
      <x:c r="U55" s="22" t="str"/>
    </x:row>
    <x:row r="56" ht="31" customHeight="1">
      <x:c r="A56" s="26" t="str">
        <x:v>TAP-051</x:v>
      </x:c>
      <x:c r="B56" s="22" t="str">
        <x:v>Seguridad &amp; governance</x:v>
      </x:c>
      <x:c r="C56" s="22" t="str">
        <x:v>03 Runtime Authority</x:v>
      </x:c>
      <x:c r="D56" s="22" t="str">
        <x:v>CAPABILITY-REGISTRY</x:v>
      </x:c>
      <x:c r="E56" s="22" t="str">
        <x:v>Lista de agentes y permisos: sin capacidades EXEC/RISK</x:v>
      </x:c>
      <x:c r="F56" s="22" t="str">
        <x:v>VERIFICADO_FOCAL</x:v>
      </x:c>
      <x:c r="G56" s="22" t="str">
        <x:v>P0</x:v>
      </x:c>
      <x:c r="H56" s="24" t="n">
        <x:v>1</x:v>
      </x:c>
      <x:c r="I56" s="22" t="n">
        <x:v>9</x:v>
      </x:c>
      <x:c r="J56" s="22" t="str">
        <x:v>TAP-013</x:v>
      </x:c>
      <x:c r="K56" s="22" t="str">
        <x:v>Registro BOT-VIS y BOT-CTX; desactivados por defecto</x:v>
      </x:c>
      <x:c r="L56" s="22" t="str">
        <x:v>registry.py / b7e100a</x:v>
      </x:c>
      <x:c r="M56" s="22" t="str">
        <x:v>https://github.com/Extr3sao/bot_crypto/blob/agent/ai-bots/RFC-TAP-AI-BOTS-003/src/trading_bot/intelligence/ai_bots/registry.py</x:v>
      </x:c>
      <x:c r="N56" s="22" t="str">
        <x:v>Codex</x:v>
      </x:c>
      <x:c r="O56" s="22" t="str"/>
      <x:c r="P56" s="22" t="str"/>
      <x:c r="Q56" s="22" t="str">
        <x:v>2026-10-18</x:v>
      </x:c>
      <x:c r="R56" s="28" t="str"/>
      <x:c r="S56" s="28" t="str"/>
      <x:c r="T56" s="22" t="str">
        <x:v>REPO_REPORT</x:v>
      </x:c>
      <x:c r="U56" s="22" t="str"/>
    </x:row>
    <x:row r="57" ht="31" customHeight="1">
      <x:c r="A57" s="26" t="str">
        <x:v>TAP-052</x:v>
      </x:c>
      <x:c r="B57" s="22" t="str">
        <x:v>Seguridad &amp; governance</x:v>
      </x:c>
      <x:c r="C57" s="22" t="str">
        <x:v>10 Risk / Portfolio</x:v>
      </x:c>
      <x:c r="D57" s="22" t="str">
        <x:v>RISK-DEFENSIVE-GATES</x:v>
      </x:c>
      <x:c r="E57" s="22" t="str">
        <x:v>Verificar filtros spread/latency/weekend/ATR en ruta canónica</x:v>
      </x:c>
      <x:c r="F57" s="22" t="str">
        <x:v>VERIFICADO_FOCAL</x:v>
      </x:c>
      <x:c r="G57" s="22" t="str">
        <x:v>P0</x:v>
      </x:c>
      <x:c r="H57" s="24" t="n">
        <x:v>1</x:v>
      </x:c>
      <x:c r="I57" s="22" t="n">
        <x:v>11</x:v>
      </x:c>
      <x:c r="J57" s="22" t="str">
        <x:v>TAP-002</x:v>
      </x:c>
      <x:c r="K57" s="22" t="str">
        <x:v>PaperCycle defensivos fail closed; paridad AI delimitada</x:v>
      </x:c>
      <x:c r="L57" s="22" t="str">
        <x:v>EDGE-017 FINAL_REPORT</x:v>
      </x:c>
      <x:c r="M57" s="22" t="str">
        <x:v>https://github.com/Extr3sao/bot_crypto/blob/agent/edge-recovery/WP-EDGE-00-baseline/reports/economic-recovery/RFC-EDGE-017/FINAL_REPORT.md</x:v>
      </x:c>
      <x:c r="N57" s="22" t="str">
        <x:v>Codex</x:v>
      </x:c>
      <x:c r="O57" s="22" t="str"/>
      <x:c r="P57" s="22" t="str"/>
      <x:c r="Q57" s="22" t="str">
        <x:v>2026-10-18</x:v>
      </x:c>
      <x:c r="R57" s="28" t="str"/>
      <x:c r="S57" s="28" t="str"/>
      <x:c r="T57" s="22" t="str">
        <x:v>REPO_REPORT</x:v>
      </x:c>
      <x:c r="U57" s="22" t="str">
        <x:v>No equiparar automáticamente replay 1h con validación de spread/latencia.</x:v>
      </x:c>
    </x:row>
    <x:row r="58" ht="31" customHeight="1">
      <x:c r="A58" s="26" t="str">
        <x:v>TAP-053</x:v>
      </x:c>
      <x:c r="B58" s="22" t="str">
        <x:v>Seguridad &amp; governance</x:v>
      </x:c>
      <x:c r="C58" s="22" t="str">
        <x:v>10 Risk / Portfolio</x:v>
      </x:c>
      <x:c r="D58" s="22" t="str">
        <x:v>NO-LIVE-GATE</x:v>
      </x:c>
      <x:c r="E58" s="22" t="str">
        <x:v>Aprobación explícita para live/capital/riesgo/credenciales</x:v>
      </x:c>
      <x:c r="F58" s="22" t="str">
        <x:v>IMPLEMENTADO</x:v>
      </x:c>
      <x:c r="G58" s="22" t="str">
        <x:v>P0</x:v>
      </x:c>
      <x:c r="H58" s="24" t="n">
        <x:v>1</x:v>
      </x:c>
      <x:c r="I58" s="22" t="n">
        <x:v>2</x:v>
      </x:c>
      <x:c r="J58" s="22" t="str"/>
      <x:c r="K58" s="22" t="str">
        <x:v>Paper por defecto; permisos críticos bloqueados</x:v>
      </x:c>
      <x:c r="L58" s="22" t="str">
        <x:v>AGENTS + WP reports</x:v>
      </x:c>
      <x:c r="M58" s="22" t="str">
        <x:v>https://github.com/Extr3sao/bot_crypto/issues/12</x:v>
      </x:c>
      <x:c r="N58" s="22" t="str">
        <x:v>Codex</x:v>
      </x:c>
      <x:c r="O58" s="22" t="str"/>
      <x:c r="P58" s="22" t="str"/>
      <x:c r="Q58" s="22" t="str">
        <x:v>2026-10-18</x:v>
      </x:c>
      <x:c r="R58" s="28" t="str"/>
      <x:c r="S58" s="28" t="str"/>
      <x:c r="T58" s="22" t="str">
        <x:v>GOVERNANCE_POLICY</x:v>
      </x:c>
      <x:c r="U58" s="22" t="str"/>
    </x:row>
    <x:row r="59" ht="31" customHeight="1">
      <x:c r="A59" s="26" t="str">
        <x:v>TAP-054</x:v>
      </x:c>
      <x:c r="B59" s="22" t="str">
        <x:v>Producto &amp; UX</x:v>
      </x:c>
      <x:c r="C59" s="22" t="str">
        <x:v>14 Paper</x:v>
      </x:c>
      <x:c r="D59" s="22" t="str">
        <x:v>PAPER-DAILY-REPORT</x:v>
      </x:c>
      <x:c r="E59" s="22" t="str">
        <x:v>Reporte diario saldo, PnL neto, activos, motivos NO_TRADE</x:v>
      </x:c>
      <x:c r="F59" s="22" t="str">
        <x:v>PENDIENTE</x:v>
      </x:c>
      <x:c r="G59" s="22" t="str">
        <x:v>P1</x:v>
      </x:c>
      <x:c r="H59" s="24" t="n">
        <x:v>0.25</x:v>
      </x:c>
      <x:c r="I59" s="22" t="n">
        <x:v>35</x:v>
      </x:c>
      <x:c r="J59" s="22" t="str">
        <x:v>TAP-049; TAP-035</x:v>
      </x:c>
      <x:c r="K59" s="22" t="str">
        <x:v>No se ha demostrado rutina diaria automática continua</x:v>
      </x:c>
      <x:c r="L59" s="22" t="str">
        <x:v>TAP-EDGE-001</x:v>
      </x:c>
      <x:c r="M59" s="22" t="str">
        <x:v>https://github.com/Extr3sao/bot_crypto/issues/10</x:v>
      </x:c>
      <x:c r="N59" s="22" t="str">
        <x:v>Codex</x:v>
      </x:c>
      <x:c r="O59" s="22" t="str"/>
      <x:c r="P59" s="22" t="str"/>
      <x:c r="Q59" s="22" t="str">
        <x:v>2026-10-18</x:v>
      </x:c>
      <x:c r="R59" s="28" t="str">
        <x:v>Primer CSV/JSON diario de capturas/sesiones; interfaz opcional.</x:v>
      </x:c>
      <x:c r="S59" s="28" t="str"/>
      <x:c r="T59" s="22" t="str">
        <x:v>REPO_REPORT</x:v>
      </x:c>
      <x:c r="U59" s="22" t="str"/>
    </x:row>
    <x:row r="60" ht="31" customHeight="1">
      <x:c r="A60" s="26" t="str">
        <x:v>TAP-055</x:v>
      </x:c>
      <x:c r="B60" s="22" t="str">
        <x:v>Producto &amp; UX</x:v>
      </x:c>
      <x:c r="C60" s="22" t="str">
        <x:v>15 Shadow / Canary</x:v>
      </x:c>
      <x:c r="D60" s="22" t="str">
        <x:v>PROMOTION-GATES</x:v>
      </x:c>
      <x:c r="E60" s="22" t="str">
        <x:v>Shadow → canary → limited → prod con rollback y verificador</x:v>
      </x:c>
      <x:c r="F60" s="22" t="str">
        <x:v>PLANIFICADO</x:v>
      </x:c>
      <x:c r="G60" s="22" t="str">
        <x:v>P2</x:v>
      </x:c>
      <x:c r="H60" s="24" t="n">
        <x:v>0</x:v>
      </x:c>
      <x:c r="I60" s="22" t="n">
        <x:v>54</x:v>
      </x:c>
      <x:c r="J60" s="22" t="str">
        <x:v>TAP-041; TAP-048</x:v>
      </x:c>
      <x:c r="K60" s="22" t="str">
        <x:v>Producción sin autorización; no certificar READY</x:v>
      </x:c>
      <x:c r="L60" s="22" t="str">
        <x:v>Arquitectura VNext</x:v>
      </x:c>
      <x:c r="M60" s="22" t="str">
        <x:v>https://github.com/Extr3sao/bot_crypto/issues/10</x:v>
      </x:c>
      <x:c r="N60" s="22" t="str">
        <x:v>Codex</x:v>
      </x:c>
      <x:c r="O60" s="22" t="str"/>
      <x:c r="P60" s="22" t="str"/>
      <x:c r="Q60" s="22" t="str">
        <x:v>2026-10-18</x:v>
      </x:c>
      <x:c r="R60" s="28" t="str">
        <x:v>Mantener PAPER hasta robustez/out-of-sample/approval.</x:v>
      </x:c>
      <x:c r="S60" s="28" t="str"/>
      <x:c r="T60" s="22" t="str">
        <x:v>DESIGN_ONLY</x:v>
      </x:c>
      <x:c r="U60" s="22" t="str"/>
    </x:row>
    <x:row r="61" ht="31" customHeight="1">
      <x:c r="A61" s="26" t="str">
        <x:v>TAP-056</x:v>
      </x:c>
      <x:c r="B61" s="22" t="str">
        <x:v>Roadmap vivo</x:v>
      </x:c>
      <x:c r="C61" s="22" t="str">
        <x:v>12 Observabilidad</x:v>
      </x:c>
      <x:c r="D61" s="22" t="str">
        <x:v>ROADMAP-MASTER-001</x:v>
      </x:c>
      <x:c r="E61" s="22" t="str">
        <x:v>Inventario maestro Excel + JSON canónico y changelog</x:v>
      </x:c>
      <x:c r="F61" s="22" t="str">
        <x:v>IMPLEMENTADO</x:v>
      </x:c>
      <x:c r="G61" s="22" t="str">
        <x:v>P0</x:v>
      </x:c>
      <x:c r="H61" s="24" t="n">
        <x:v>1</x:v>
      </x:c>
      <x:c r="I61" s="22" t="n">
        <x:v>0</x:v>
      </x:c>
      <x:c r="J61" s="22" t="str"/>
      <x:c r="K61" s="22" t="str">
        <x:v>Registro inicial 2026-10-18, rama de gestión aislada</x:v>
      </x:c>
      <x:c r="L61" s="22" t="str">
        <x:v>ROADMAP_TRADING_AGENTIC_PORTABLE.xlsx</x:v>
      </x:c>
      <x:c r="M61" s="22" t="str">
        <x:v>https://github.com/Extr3sao/bot_crypto</x:v>
      </x:c>
      <x:c r="N61" s="22" t="str">
        <x:v>ChatGPT + Codex</x:v>
      </x:c>
      <x:c r="O61" s="22" t="str"/>
      <x:c r="P61" s="22" t="str"/>
      <x:c r="Q61" s="22" t="str">
        <x:v>2026-10-18</x:v>
      </x:c>
      <x:c r="R61" s="28" t="str">
        <x:v>Actualizar tras cada commit/RFC/WP con ejecución y evidencia.</x:v>
      </x:c>
      <x:c r="S61" s="28" t="str"/>
      <x:c r="T61" s="22" t="str">
        <x:v>PROJECT_MANAGEMENT</x:v>
      </x:c>
      <x:c r="U61" s="22" t="str">
        <x:v>Roadmap en Biblioteca y rama GitHub de gestión; cambios versionados. Se actualiza al compartir nuevo progreso, no por monitorización continua no configurada.</x:v>
      </x:c>
    </x:row>
    <x:row r="62" ht="31" customHeight="1">
      <x:c r="A62" s="26" t="str">
        <x:v>TAP-057</x:v>
      </x:c>
      <x:c r="B62" s="22" t="str">
        <x:v>Roadmap vivo</x:v>
      </x:c>
      <x:c r="C62" s="22" t="str">
        <x:v>12 Observabilidad</x:v>
      </x:c>
      <x:c r="D62" s="22" t="str">
        <x:v>ROADMAP-MASTER-001</x:v>
      </x:c>
      <x:c r="E62" s="22" t="str">
        <x:v>Sincronizar Excel del roadmap a rama GitHub del proyecto</x:v>
      </x:c>
      <x:c r="F62" s="22" t="str">
        <x:v>VERIFICADO_FOCAL</x:v>
      </x:c>
      <x:c r="G62" s="22" t="str">
        <x:v>P0</x:v>
      </x:c>
      <x:c r="H62" s="24" t="n">
        <x:v>1</x:v>
      </x:c>
      <x:c r="I62" s="22" t="n">
        <x:v>1</x:v>
      </x:c>
      <x:c r="J62" s="22" t="str">
        <x:v>TAP-056</x:v>
      </x:c>
      <x:c r="K62" s="22" t="str">
        <x:v>Excel binario y JSON/CSV publicados por Git blob SHA; rama independiente; merge a main pendiente</x:v>
      </x:c>
      <x:c r="L62" s="22" t="str">
        <x:v>PR #15 · 8597750 + revisión v1.2</x:v>
      </x:c>
      <x:c r="M62" s="22" t="str">
        <x:v>https://github.com/Extr3sao/bot_crypto/pull/15</x:v>
      </x:c>
      <x:c r="N62" s="22" t="str">
        <x:v>ChatGPT</x:v>
      </x:c>
      <x:c r="O62" s="22" t="str"/>
      <x:c r="P62" s="22" t="str"/>
      <x:c r="Q62" s="22" t="str">
        <x:v>2026-10-18</x:v>
      </x:c>
      <x:c r="R62" s="28" t="str">
        <x:v>Actualización incremental del Excel tras cada nueva fase; valorar PR a main</x:v>
      </x:c>
      <x:c r="S62" s="28" t="str"/>
      <x:c r="T62" s="22" t="str">
        <x:v>PROJECT_MANAGEMENT</x:v>
      </x:c>
      <x:c r="U62" s="22" t="str">
        <x:v>Excel+JSON+CSV en rama project/roadmap-trading-agentic, PR no fusionado a main. Revision v1.2 añade UX consolas invisibles.</x:v>
      </x:c>
    </x:row>
    <x:row r="63" ht="31" customHeight="1">
      <x:c r="A63" s="26" t="str">
        <x:v>TAP-058</x:v>
      </x:c>
      <x:c r="B63" s="22" t="str">
        <x:v>Rentabilidad</x:v>
      </x:c>
      <x:c r="C63" s="22" t="str">
        <x:v>13 Agent Utility</x:v>
      </x:c>
      <x:c r="D63" s="22" t="str">
        <x:v>ECONOMIC-VIS-CTX</x:v>
      </x:c>
      <x:c r="E63" s="22" t="str">
        <x:v>Validar resultados positivos para IA real frente a CASH/determinista</x:v>
      </x:c>
      <x:c r="F63" s="22" t="str">
        <x:v>BLOQUEADO</x:v>
      </x:c>
      <x:c r="G63" s="22" t="str">
        <x:v>P0</x:v>
      </x:c>
      <x:c r="H63" s="24" t="n">
        <x:v>0</x:v>
      </x:c>
      <x:c r="I63" s="22" t="n">
        <x:v>39</x:v>
      </x:c>
      <x:c r="J63" s="22" t="str">
        <x:v>TAP-025; TAP-026; TAP-041</x:v>
      </x:c>
      <x:c r="K63" s="22" t="str">
        <x:v>Sin muestras de IA real; replay mock NETO negativo</x:v>
      </x:c>
      <x:c r="L63" s="22" t="str">
        <x:v>003B mock -15.68 y 003C -97.93 (escenarios distintos)</x:v>
      </x:c>
      <x:c r="M63" s="22" t="str">
        <x:v>https://github.com/Extr3sao/bot_crypto/blob/agent/ai-bots/RFC-TAP-AI-BOTS-003/reports/ai-bots/RFC-AI-BOTS-003/BLOCK-C/FINAL_REPORT.md</x:v>
      </x:c>
      <x:c r="N63" s="22" t="str">
        <x:v>Codex</x:v>
      </x:c>
      <x:c r="O63" s="22" t="str"/>
      <x:c r="P63" s="22" t="str"/>
      <x:c r="Q63" s="22" t="str">
        <x:v>2026-10-18</x:v>
      </x:c>
      <x:c r="R63" s="28" t="str">
        <x:v>Medir eficacia de IA real + costes; si no mejora descartar.</x:v>
      </x:c>
      <x:c r="S63" s="28" t="str">
        <x:v>Real model call 0, prosp paper no validado.</x:v>
      </x:c>
      <x:c r="T63" s="22" t="str">
        <x:v>ECONOMIC_REPLAY</x:v>
      </x:c>
      <x:c r="U63" s="22" t="str"/>
    </x:row>
    <x:row r="64" ht="31" customHeight="1">
      <x:c r="A64" s="26" t="str">
        <x:v>TAP-059</x:v>
      </x:c>
      <x:c r="B64" s="22" t="str">
        <x:v>Multi-asset</x:v>
      </x:c>
      <x:c r="C64" s="22" t="str">
        <x:v>08 Strategy Intelligence</x:v>
      </x:c>
      <x:c r="D64" s="22" t="str">
        <x:v>ROUTER-MULTI-ASSET</x:v>
      </x:c>
      <x:c r="E64" s="22" t="str">
        <x:v>Comparabilidad entre activos/cadencias/regímenes y capacidad multiasset</x:v>
      </x:c>
      <x:c r="F64" s="22" t="str">
        <x:v>PLANIFICADO</x:v>
      </x:c>
      <x:c r="G64" s="22" t="str">
        <x:v>P1</x:v>
      </x:c>
      <x:c r="H64" s="24" t="n">
        <x:v>0.3</x:v>
      </x:c>
      <x:c r="I64" s="22" t="n">
        <x:v>28</x:v>
      </x:c>
      <x:c r="J64" s="22" t="str">
        <x:v>TAP-032; TAP-034</x:v>
      </x:c>
      <x:c r="K64" s="22" t="str">
        <x:v>Dos activos AI en replay; exposición multiasset e2e pendiente</x:v>
      </x:c>
      <x:c r="L64" s="22" t="str">
        <x:v>BLOCK-C real AAVE/UNI</x:v>
      </x:c>
      <x:c r="M64" s="22" t="str">
        <x:v>https://github.com/Extr3sao/bot_crypto/blob/agent/ai-bots/RFC-TAP-AI-BOTS-003/reports/ai-bots/RFC-AI-BOTS-003/BLOCK-C/FINAL_REPORT.md</x:v>
      </x:c>
      <x:c r="N64" s="22" t="str">
        <x:v>Codex</x:v>
      </x:c>
      <x:c r="O64" s="22" t="str"/>
      <x:c r="P64" s="22" t="str"/>
      <x:c r="Q64" s="22" t="str">
        <x:v>2026-10-18</x:v>
      </x:c>
      <x:c r="R64" s="28" t="str">
        <x:v>Evitar filtraciones HTF y falsos cruces multiasset.</x:v>
      </x:c>
      <x:c r="S64" s="28" t="str"/>
      <x:c r="T64" s="22" t="str">
        <x:v>SOURCE_AND_TESTS</x:v>
      </x:c>
      <x:c r="U64" s="22" t="str"/>
    </x:row>
    <x:row r="65" ht="31" customHeight="1">
      <x:c r="A65" s="26" t="str">
        <x:v>TAP-060</x:v>
      </x:c>
      <x:c r="B65" s="22" t="str">
        <x:v>Investigación externa</x:v>
      </x:c>
      <x:c r="C65" s="22" t="str">
        <x:v>01 Research</x:v>
      </x:c>
      <x:c r="D65" s="22" t="str">
        <x:v>REA-TARGET-REGISTRY</x:v>
      </x:c>
      <x:c r="E65" s="22" t="str">
        <x:v>Mantener source_registry y decisiones ADOPT/EXPERIMENT/REJECT</x:v>
      </x:c>
      <x:c r="F65" s="22" t="str">
        <x:v>VERIFICADO_FOCAL</x:v>
      </x:c>
      <x:c r="G65" s="22" t="str">
        <x:v>P1</x:v>
      </x:c>
      <x:c r="H65" s="24" t="n">
        <x:v>1</x:v>
      </x:c>
      <x:c r="I65" s="22" t="n">
        <x:v>6</x:v>
      </x:c>
      <x:c r="J65" s="22" t="str">
        <x:v>TAP-008</x:v>
      </x:c>
      <x:c r="K65" s="22" t="str">
        <x:v>Fenix Apache-2.0, nof1 AGPL; no copiar antipatrones</x:v>
      </x:c>
      <x:c r="L65" s="22" t="str">
        <x:v>source_registry.md</x:v>
      </x:c>
      <x:c r="M65" s="22" t="str">
        <x:v>https://github.com/Extr3sao/bot_crypto/blob/agent/ai-vision/RFC-AI-VISION-001/reports/ai-bots/RFC-AI-BOTS-002/source_registry.md</x:v>
      </x:c>
      <x:c r="N65" s="22" t="str">
        <x:v>Codex</x:v>
      </x:c>
      <x:c r="O65" s="22" t="str"/>
      <x:c r="P65" s="22" t="str"/>
      <x:c r="Q65" s="22" t="str">
        <x:v>2026-10-18</x:v>
      </x:c>
      <x:c r="R65" s="28" t="str"/>
      <x:c r="S65" s="28" t="str"/>
      <x:c r="T65" s="22" t="str">
        <x:v>REPO_REPORT</x:v>
      </x:c>
      <x:c r="U65" s="22" t="str"/>
    </x:row>
    <x:row r="66">
      <x:c r="A66" t="str">
        <x:v>TAP-061</x:v>
      </x:c>
      <x:c r="B66" t="str">
        <x:v>Infra &amp; experiencia Windows</x:v>
      </x:c>
      <x:c r="C66" t="str">
        <x:v>03 Runtime Authority</x:v>
      </x:c>
      <x:c r="D66" t="str">
        <x:v>WP-OPS-BACKGROUND-001</x:v>
      </x:c>
      <x:c r="E66" t="str">
        <x:v>Ejecución de Python y supervisores internos sin nuevas consolas Windows</x:v>
      </x:c>
      <x:c r="F66" t="str">
        <x:v>VERIFICADO_FOCAL</x:v>
      </x:c>
      <x:c r="G66" t="str">
        <x:v>P1</x:v>
      </x:c>
      <x:c r="H66" t="n">
        <x:v>0.85</x:v>
      </x:c>
      <x:c r="I66" t="n">
        <x:v>12</x:v>
      </x:c>
      <x:c r="J66" t="str">
        <x:v>TAP-044; TAP-049</x:v>
      </x:c>
      <x:c r="K66" t="str">
        <x:v>13 pruebas ops; 0 HIGH; 335 tests focales; logs/exit/timeout; visual NOT_OBSERVABLE</x:v>
      </x:c>
      <x:c r="L66" t="str">
        <x:v>fe9b5e2 · RUN_REPORT.json · FINAL_REPORT.md</x:v>
      </x:c>
      <x:c r="M66" t="str">
        <x:v>https://github.com/Extr3sao/bot_crypto/blob/agent/ai-bots/RFC-TAP-AI-BOTS-003/reports/ops/WP-OPS-BACKGROUND-001/FINAL_REPORT.md</x:v>
      </x:c>
      <x:c r="N66" t="str">
        <x:v>Codex</x:v>
      </x:c>
      <x:c r="O66"/>
      <x:c r="P66"/>
      <x:c r="Q66" t="str">
        <x:v>2026-10-18</x:v>
      </x:c>
      <x:c r="R66" t="str">
        <x:v>Mantener windowless y comprobar experiencia visual después de corregir Freebuff.</x:v>
      </x:c>
      <x:c r="S66" t="str">
        <x:v>Freebuff Bun.spawn sin windowsHide; prueba visual NOT_OBSERVABLE; Scheduler no instalado.</x:v>
      </x:c>
      <x:c r="T66" t="str">
        <x:v>REAL_RUNTIME_FOCAL</x:v>
      </x:c>
      <x:c r="U66" t="str">
        <x:v>Origin PE confirmado Freebuff GUI→bun CONSOLE→bash; wrapper propio CREATE_NO_WINDOW+SW_HIDE; 324 MEDIUM: 303 subprocess.run, 20 bat/cmd, 1 probe.</x:v>
      </x:c>
    </x:row>
    <x:row r="67">
      <x:c r="A67" t="str">
        <x:v>TAP-062</x:v>
      </x:c>
      <x:c r="B67" t="str">
        <x:v>Infra &amp; experiencia Windows</x:v>
      </x:c>
      <x:c r="C67" t="str">
        <x:v>03 Runtime Authority</x:v>
      </x:c>
      <x:c r="D67" t="str">
        <x:v>FREEBUFF-WINDOWSHIDE</x:v>
      </x:c>
      <x:c r="E67" t="str">
        <x:v>Eliminar ventanas Bash/CMD abiertas por Freebuff/Codebuff al invocar Bun.spawn</x:v>
      </x:c>
      <x:c r="F67" t="str">
        <x:v>BLOQUEADO</x:v>
      </x:c>
      <x:c r="G67" t="str">
        <x:v>P1</x:v>
      </x:c>
      <x:c r="H67" t="n">
        <x:v>0.25</x:v>
      </x:c>
      <x:c r="I67" t="n">
        <x:v>13</x:v>
      </x:c>
      <x:c r="J67" t="str">
        <x:v>TAP-061</x:v>
      </x:c>
      <x:c r="K67" t="str">
        <x:v>No aparecen popups en arranque real desde Freebuff GUI; pruebas visuales independientes y logs intactos</x:v>
      </x:c>
      <x:c r="L67" t="str">
        <x:v>fe9b5e2 · WINDOWLESS_EXECUTION.md · WINDOWLESS_LIVE_PROBE.json</x:v>
      </x:c>
      <x:c r="M67" t="str">
        <x:v>https://github.com/Extr3sao/bot_crypto/blob/agent/ai-bots/RFC-TAP-AI-BOTS-003/docs/runtime/WINDOWLESS_EXECUTION.md</x:v>
      </x:c>
      <x:c r="N67" t="str">
        <x:v>Proveedor Freebuff/Codebuff</x:v>
      </x:c>
      <x:c r="O67"/>
      <x:c r="P67"/>
      <x:c r="Q67" t="str">
        <x:v>2026-10-18</x:v>
      </x:c>
      <x:c r="R67" t="str">
        <x:v>Solicitar corrección oficial de Bun.spawn con windowsHide:true; repetir prueba visual Windows.</x:v>
      </x:c>
      <x:c r="S67" t="str">
        <x:v>Bun.spawn sin windowsHide en Freebuff Desktop 0.0.173; sin ajustar binarios firmados.</x:v>
      </x:c>
      <x:c r="T67" t="str">
        <x:v>EXTERNAL_RUNTIME_DIAGNOSIS</x:v>
      </x:c>
      <x:c r="U67" t="str">
        <x:v>Causa demostrada por cadena de padres y subsistemas PE; mitigación lanzar Freebuff desde terminal existente, no solución definitiva.</x:v>
      </x:c>
    </x:row>
    <x:row r="68">
      <x:c r="A68" t="str">
        <x:v>TAP-063</x:v>
      </x:c>
      <x:c r="B68" t="str">
        <x:v>Infra &amp; experiencia Windows</x:v>
      </x:c>
      <x:c r="C68" t="str">
        <x:v>03 Runtime Authority</x:v>
      </x:c>
      <x:c r="D68" t="str">
        <x:v>WP-OPS-BACKGROUND-001</x:v>
      </x:c>
      <x:c r="E68" t="str">
        <x:v>Activar y validar tarea programada con pythonw.exe y lanzador sin consola</x:v>
      </x:c>
      <x:c r="F68" t="str">
        <x:v>PENDIENTE</x:v>
      </x:c>
      <x:c r="G68" t="str">
        <x:v>P1</x:v>
      </x:c>
      <x:c r="H68" t="n">
        <x:v>0.55</x:v>
      </x:c>
      <x:c r="I68" t="n">
        <x:v>14</x:v>
      </x:c>
      <x:c r="J68" t="str">
        <x:v>TAP-061</x:v>
      </x:c>
      <x:c r="K68" t="str">
        <x:v>XML y argumentos probados; tarea instalada y ejecución visual verificada con cancelación limpia</x:v>
      </x:c>
      <x:c r="L68" t="str">
        <x:v>fe9b5e2 · scripts/cap004_supervisor.py · RUN_REPORT.json</x:v>
      </x:c>
      <x:c r="M68" t="str">
        <x:v>https://github.com/Extr3sao/bot_crypto/blob/agent/ai-bots/RFC-TAP-AI-BOTS-003/reports/ops/WP-OPS-BACKGROUND-001/RUN_REPORT.json</x:v>
      </x:c>
      <x:c r="N68" t="str">
        <x:v>Codex</x:v>
      </x:c>
      <x:c r="O68"/>
      <x:c r="P68"/>
      <x:c r="Q68" t="str">
        <x:v>2026-10-18</x:v>
      </x:c>
      <x:c r="R68" t="str">
        <x:v>Instalación en host autorizada, test GUI de scheduler y evidencia independiente.</x:v>
      </x:c>
      <x:c r="S68" t="str">
        <x:v>Tarea no registrada en Windows: modificación del host con privilegios pendiente.</x:v>
      </x:c>
      <x:c r="T68" t="str">
        <x:v>IMPLEMENTED_NOT_DEPLOYED</x:v>
      </x:c>
      <x:c r="U68" t="str">
        <x:v>Código y pruebas preparados, pero Task Scheduler no modificado. No desplegar sin autorización.</x:v>
      </x:c>
    </x:row>
    <x:row r="69">
      <x:c r="A69" t="str">
        <x:v>TAP-064</x:v>
      </x:c>
      <x:c r="B69" t="str">
        <x:v>Datos de mercado</x:v>
      </x:c>
      <x:c r="C69" t="str">
        <x:v>03 Runtime Authority</x:v>
      </x:c>
      <x:c r="D69" t="str">
        <x:v>RFC-TAP-MARKET-005 / 005A</x:v>
      </x:c>
      <x:c r="E69" t="str">
        <x:v>Atribuir fetch_ohlcv y tareas reales a PID/PPID, owner, consumidor y run_id</x:v>
      </x:c>
      <x:c r="F69" t="str">
        <x:v>PENDIENTE</x:v>
      </x:c>
      <x:c r="G69" t="str">
        <x:v>P0</x:v>
      </x:c>
      <x:c r="H69" t="n">
        <x:v>0</x:v>
      </x:c>
      <x:c r="I69" t="n">
        <x:v>4</x:v>
      </x:c>
      <x:c r="J69" t="str">
        <x:v>TAP-061; TAP-063</x:v>
      </x:c>
      <x:c r="K69" t="str">
        <x:v>Correlación proceso→task→req_id→caller→uso, o UNKNOWN sin falsos éxitos</x:v>
      </x:c>
      <x:c r="L69" t="str">
        <x:v>Revisión GitHub fe9b5e2; screenshot fetch_ohlcv; fetch limits 1000/500/500</x:v>
      </x:c>
      <x:c r="M69" t="str">
        <x:v>https://github.com/Extr3sao/bot_crypto/issues/16</x:v>
      </x:c>
      <x:c r="N69" t="str">
        <x:v>Codex</x:v>
      </x:c>
      <x:c r="O69"/>
      <x:c r="P69"/>
      <x:c r="Q69" t="str">
        <x:v>2026-10-18</x:v>
      </x:c>
      <x:c r="R69" t="str">
        <x:v>WP-005A: Get-ScheduledTask read-only y mapa de entrypoints; no modificar tasks.</x:v>
      </x:c>
      <x:c r="S69" t="str">
        <x:v>No existe todavía evidencia PID/task/run_id que atribuya esa descarga concreta.</x:v>
      </x:c>
      <x:c r="T69" t="str">
        <x:v>SOURCE_AUDIT_PENDING_RUNTIME</x:v>
      </x:c>
      <x:c r="U69" t="str">
        <x:v>CCXTExchangeConnector emite logs; real_market_context coincide en límites, pero la fuente de la captura no está identificada.</x:v>
      </x:c>
    </x:row>
    <x:row r="70">
      <x:c r="A70" t="str">
        <x:v>TAP-065</x:v>
      </x:c>
      <x:c r="B70" t="str">
        <x:v>Datos de mercado</x:v>
      </x:c>
      <x:c r="C70" t="str">
        <x:v>03 Runtime Authority</x:v>
      </x:c>
      <x:c r="D70" t="str">
        <x:v>RFC-TAP-MARKET-005 / 005B</x:v>
      </x:c>
      <x:c r="E70" t="str">
        <x:v>Medir coste y cobertura de recargas de históricos 1h/4h/1d y readers actuales</x:v>
      </x:c>
      <x:c r="F70" t="str">
        <x:v>PENDIENTE</x:v>
      </x:c>
      <x:c r="G70" t="str">
        <x:v>P0</x:v>
      </x:c>
      <x:c r="H70" t="n">
        <x:v>0</x:v>
      </x:c>
      <x:c r="I70" t="n">
        <x:v>5</x:v>
      </x:c>
      <x:c r="J70" t="str">
        <x:v>TAP-064</x:v>
      </x:c>
      <x:c r="K70" t="str">
        <x:v>Misma ventana/activos; requests/h, bytes, age, duplicate, gap, lag, proveedor, destino y consumo</x:v>
      </x:c>
      <x:c r="L70" t="str">
        <x:v>RFC-TAP-MARKET-005 / source baseline (NO RUN)</x:v>
      </x:c>
      <x:c r="M70" t="str">
        <x:v>https://github.com/Extr3sao/bot_crypto/issues/16</x:v>
      </x:c>
      <x:c r="N70" t="str">
        <x:v>Codex</x:v>
      </x:c>
      <x:c r="O70"/>
      <x:c r="P70"/>
      <x:c r="Q70" t="str">
        <x:v>2026-10-18</x:v>
      </x:c>
      <x:c r="R70" t="str">
        <x:v>Obtener baseline de varios ciclos y distinguir bootstrap de recarga frecuente.</x:v>
      </x:c>
      <x:c r="S70" t="str">
        <x:v>Tasa real de peticiones y uso de cache no medida; no afirmar redundancia aún.</x:v>
      </x:c>
      <x:c r="T70" t="str">
        <x:v>DESIGN_ONLY</x:v>
      </x:c>
      <x:c r="U70" t="str">
        <x:v>No convertir coincidencia de logs en causalidad de Task Scheduler; no apagar procesos.</x:v>
      </x:c>
    </x:row>
    <x:row r="71">
      <x:c r="A71" t="str">
        <x:v>TAP-066</x:v>
      </x:c>
      <x:c r="B71" t="str">
        <x:v>Datos de mercado</x:v>
      </x:c>
      <x:c r="C71" t="str">
        <x:v>03 Runtime Authority</x:v>
      </x:c>
      <x:c r="D71" t="str">
        <x:v>RFC-TAP-MARKET-005 / 005C</x:v>
      </x:c>
      <x:c r="E71" t="str">
        <x:v>Bootstrapping limitado e ingestión incremental con watermark y correcciones</x:v>
      </x:c>
      <x:c r="F71" t="str">
        <x:v>PLANIFICADO</x:v>
      </x:c>
      <x:c r="G71" t="str">
        <x:v>P0</x:v>
      </x:c>
      <x:c r="H71" t="n">
        <x:v>0</x:v>
      </x:c>
      <x:c r="I71" t="n">
        <x:v>6</x:v>
      </x:c>
      <x:c r="J71" t="str">
        <x:v>TAP-065</x:v>
      </x:c>
      <x:c r="K71" t="str">
        <x:v>Mismos datos finales que baseline con menos llamadas; reinicio idempotente, no HTF futuro</x:v>
      </x:c>
      <x:c r="L71" t="str">
        <x:v>RFC-005 WP plan; adapters existentes OHLCVFetcher/Store</x:v>
      </x:c>
      <x:c r="M71" t="str">
        <x:v>https://github.com/Extr3sao/bot_crypto/issues/16</x:v>
      </x:c>
      <x:c r="N71" t="str">
        <x:v>Codex</x:v>
      </x:c>
      <x:c r="O71"/>
      <x:c r="P71"/>
      <x:c r="Q71" t="str">
        <x:v>2026-10-18</x:v>
      </x:c>
      <x:c r="R71" t="str">
        <x:v>Implementar delta-reader reutilizando CCXT/store y cuotas; RED→GREEN.</x:v>
      </x:c>
      <x:c r="S71" t="str">
        <x:v>No activar sin demostrar equivalencia de datos y fuente.</x:v>
      </x:c>
      <x:c r="T71" t="str">
        <x:v>DESIGN_ONLY</x:v>
      </x:c>
      <x:c r="U71" t="str">
        <x:v>No instalar colector adicional ni copiar framework de terceros; un owner lógico.</x:v>
      </x:c>
    </x:row>
    <x:row r="72">
      <x:c r="A72" t="str">
        <x:v>TAP-067</x:v>
      </x:c>
      <x:c r="B72" t="str">
        <x:v>Market Intelligence</x:v>
      </x:c>
      <x:c r="C72" t="str">
        <x:v>06 Market Intelligence</x:v>
      </x:c>
      <x:c r="D72" t="str">
        <x:v>RFC-TAP-MARKET-005 / 005D</x:v>
      </x:c>
      <x:c r="E72" t="str">
        <x:v>MarketSnapshot causal para bots visual/contextual y runtime PAPER/SHADOW</x:v>
      </x:c>
      <x:c r="F72" t="str">
        <x:v>PLANIFICADO</x:v>
      </x:c>
      <x:c r="G72" t="str">
        <x:v>P0</x:v>
      </x:c>
      <x:c r="H72" t="n">
        <x:v>0</x:v>
      </x:c>
      <x:c r="I72" t="n">
        <x:v>7</x:v>
      </x:c>
      <x:c r="J72" t="str">
        <x:v>TAP-066; TAP-022; TAP-024</x:v>
      </x:c>
      <x:c r="K72" t="str">
        <x:v>PIT, fecha disponibilidad, freshness, hash y consumo real; RiskManager/Admission intactos</x:v>
      </x:c>
      <x:c r="L72" t="str">
        <x:v>RFC-005 snapshot contract</x:v>
      </x:c>
      <x:c r="M72" t="str">
        <x:v>https://github.com/Extr3sao/bot_crypto/issues/16</x:v>
      </x:c>
      <x:c r="N72" t="str">
        <x:v>Codex</x:v>
      </x:c>
      <x:c r="O72"/>
      <x:c r="P72"/>
      <x:c r="Q72" t="str">
        <x:v>2026-10-18</x:v>
      </x:c>
      <x:c r="R72" t="str">
        <x:v>Conectar snapshot validado a eventos del runtime sin bypass de estrategia.</x:v>
      </x:c>
      <x:c r="S72" t="str">
        <x:v>Coleccionista WebSocket solo DISCOVERY y estrategia PAPER no admitida.</x:v>
      </x:c>
      <x:c r="T72" t="str">
        <x:v>DESIGN_ONLY</x:v>
      </x:c>
      <x:c r="U72" t="str">
        <x:v>Datos cerrados &gt; datos recibidos; sin snapshot FRESH bloquear propuesta de entrada.</x:v>
      </x:c>
    </x:row>
    <x:row r="73">
      <x:c r="A73" t="str">
        <x:v>TAP-068</x:v>
      </x:c>
      <x:c r="B73" t="str">
        <x:v>Market Intelligence</x:v>
      </x:c>
      <x:c r="C73" t="str">
        <x:v>09 Decision/Critic</x:v>
      </x:c>
      <x:c r="D73" t="str">
        <x:v>RFC-TAP-MARKET-005 / 005E</x:v>
      </x:c>
      <x:c r="E73" t="str">
        <x:v>Disparadores IA por evento de mercado y cuotas, deduplicación y control de costes</x:v>
      </x:c>
      <x:c r="F73" t="str">
        <x:v>PLANIFICADO</x:v>
      </x:c>
      <x:c r="G73" t="str">
        <x:v>P0</x:v>
      </x:c>
      <x:c r="H73" t="n">
        <x:v>0</x:v>
      </x:c>
      <x:c r="I73" t="n">
        <x:v>8</x:v>
      </x:c>
      <x:c r="J73" t="str">
        <x:v>TAP-067; TAP-023; TAP-025</x:v>
      </x:c>
      <x:c r="K73" t="str">
        <x:v>Un evento válido→como máximo una petición autorizada; sin clave/budget=0→cero llamadas</x:v>
      </x:c>
      <x:c r="L73" t="str">
        <x:v>RFC-005 event trigger plan</x:v>
      </x:c>
      <x:c r="M73" t="str">
        <x:v>https://github.com/Extr3sao/bot_crypto/issues/16</x:v>
      </x:c>
      <x:c r="N73" t="str">
        <x:v>Codex</x:v>
      </x:c>
      <x:c r="O73"/>
      <x:c r="P73"/>
      <x:c r="Q73" t="str">
        <x:v>2026-10-18</x:v>
      </x:c>
      <x:c r="R73" t="str">
        <x:v>Probar offline triggers de cierre/regime-change sin LLM de pago ni requests inventados.</x:v>
      </x:c>
      <x:c r="S73" t="str">
        <x:v>REAL_MODEL_CALLED=false; Freebuff no es provider programático demostrado.</x:v>
      </x:c>
      <x:c r="T73" t="str">
        <x:v>DESIGN_ONLY</x:v>
      </x:c>
      <x:c r="U73" t="str">
        <x:v>LLM analiza snapshots filtrados; market data API ≠ inferencia LLM; nunca invocar cada tick.</x:v>
      </x:c>
    </x:row>
    <x:row r="74">
      <x:c r="A74" t="str">
        <x:v>TAP-069</x:v>
      </x:c>
      <x:c r="B74" t="str">
        <x:v>Datos de mercado</x:v>
      </x:c>
      <x:c r="C74" t="str">
        <x:v>12 Observabilidad</x:v>
      </x:c>
      <x:c r="D74" t="str">
        <x:v>RFC-TAP-MARKET-005 / 005F</x:v>
      </x:c>
      <x:c r="E74" t="str">
        <x:v>Clasificar redundancias y proponer desactivaciones seguras por evidencia</x:v>
      </x:c>
      <x:c r="F74" t="str">
        <x:v>PLANIFICADO</x:v>
      </x:c>
      <x:c r="G74" t="str">
        <x:v>P1</x:v>
      </x:c>
      <x:c r="H74" t="n">
        <x:v>0</x:v>
      </x:c>
      <x:c r="I74" t="n">
        <x:v>9</x:v>
      </x:c>
      <x:c r="J74" t="str">
        <x:v>TAP-064; TAP-065; TAP-066</x:v>
      </x:c>
      <x:c r="K74" t="str">
        <x:v>KEEP/OPTIMIZE/MERGE/DISABLE_CANDIDATE + compatibilidad, ahorro y rollback</x:v>
      </x:c>
      <x:c r="L74" t="str">
        <x:v>RFC-005 decision matrix</x:v>
      </x:c>
      <x:c r="M74" t="str">
        <x:v>https://github.com/Extr3sao/bot_crypto/issues/16</x:v>
      </x:c>
      <x:c r="N74" t="str">
        <x:v>Codex</x:v>
      </x:c>
      <x:c r="O74"/>
      <x:c r="P74"/>
      <x:c r="Q74" t="str">
        <x:v>2026-10-18</x:v>
      </x:c>
      <x:c r="R74" t="str">
        <x:v>Probar equivalencia A/B y preparar matriz sin deshabilitar tareas existentes.</x:v>
      </x:c>
      <x:c r="S74" t="str">
        <x:v>Desactivaciones requieren identificación y autorización operativa del host.</x:v>
      </x:c>
      <x:c r="T74" t="str">
        <x:v>DESIGN_ONLY</x:v>
      </x:c>
      <x:c r="U74" t="str">
        <x:v>No borrar campañas ni OOS históricos ni tareas desconocidas.</x:v>
      </x:c>
    </x:row>
    <x:row r="75">
      <x:c r="A75" t="str">
        <x:v>TAP-070</x:v>
      </x:c>
      <x:c r="B75" t="str">
        <x:v>Datos de mercado</x:v>
      </x:c>
      <x:c r="C75" t="str">
        <x:v>12 Observabilidad</x:v>
      </x:c>
      <x:c r="D75" t="str">
        <x:v>RFC-TAP-MARKET-005 / 005G</x:v>
      </x:c>
      <x:c r="E75" t="str">
        <x:v>Verificar de modo independiente ingestión PIT, continuidad y triggers de IA</x:v>
      </x:c>
      <x:c r="F75" t="str">
        <x:v>PLANIFICADO</x:v>
      </x:c>
      <x:c r="G75" t="str">
        <x:v>P0</x:v>
      </x:c>
      <x:c r="H75" t="n">
        <x:v>0</x:v>
      </x:c>
      <x:c r="I75" t="n">
        <x:v>10</x:v>
      </x:c>
      <x:c r="J75" t="str">
        <x:v>TAP-066; TAP-067; TAP-068</x:v>
      </x:c>
      <x:c r="K75" t="str">
        <x:v>Builder != Verifier, mutaciones PIT/huecos/doble scheduler/disk, run report y clean checkout</x:v>
      </x:c>
      <x:c r="L75" t="str">
        <x:v>RFC-005 acceptance ACC01..ACC16</x:v>
      </x:c>
      <x:c r="M75" t="str">
        <x:v>https://github.com/Extr3sao/bot_crypto/issues/16</x:v>
      </x:c>
      <x:c r="N75" t="str">
        <x:v>Codex</x:v>
      </x:c>
      <x:c r="O75"/>
      <x:c r="P75"/>
      <x:c r="Q75" t="str">
        <x:v>2026-10-18</x:v>
      </x:c>
      <x:c r="R75" t="str">
        <x:v>Crear verifier independiente y ejecutar mismo runtime que producción PAPER.</x:v>
      </x:c>
      <x:c r="S75" t="str">
        <x:v>Suite global histórica 14 FAIL; no presentar PASS global hasta reejecutar.</x:v>
      </x:c>
      <x:c r="T75" t="str">
        <x:v>DESIGN_ONLY</x:v>
      </x:c>
      <x:c r="U75" t="str">
        <x:v>No certificar por solo tests de fixture o mock; fallo de integridad fail-closed.</x:v>
      </x:c>
    </x:row>
    <x:row r="76">
      <x:c r="A76" t="str">
        <x:v>TAP-071</x:v>
      </x:c>
      <x:c r="B76" t="str">
        <x:v>Operaciones Windows</x:v>
      </x:c>
      <x:c r="C76" t="str">
        <x:v>14 Paper</x:v>
      </x:c>
      <x:c r="D76" t="str">
        <x:v>RFC-TAP-MARKET-005 / 005H</x:v>
      </x:c>
      <x:c r="E76" t="str">
        <x:v>Activación opcional de adquisición incremental supervisada en PAPER sin Freebuff</x:v>
      </x:c>
      <x:c r="F76" t="str">
        <x:v>BLOQUEADO</x:v>
      </x:c>
      <x:c r="G76" t="str">
        <x:v>P1</x:v>
      </x:c>
      <x:c r="H76" t="n">
        <x:v>0</x:v>
      </x:c>
      <x:c r="I76" t="n">
        <x:v>11</x:v>
      </x:c>
      <x:c r="J76" t="str">
        <x:v>TAP-070; TAP-062; TAP-063</x:v>
      </x:c>
      <x:c r="K76" t="str">
        <x:v>Una sola vía programada con owner, logs, prueba de rollback y cero popups del proceso propio</x:v>
      </x:c>
      <x:c r="L76" t="str">
        <x:v>RFC-005 WP-005H activation gate</x:v>
      </x:c>
      <x:c r="M76" t="str">
        <x:v>https://github.com/Extr3sao/bot_crypto/issues/16</x:v>
      </x:c>
      <x:c r="N76" t="str">
        <x:v>Usuario + Codex</x:v>
      </x:c>
      <x:c r="O76"/>
      <x:c r="P76"/>
      <x:c r="Q76" t="str">
        <x:v>2026-10-18</x:v>
      </x:c>
      <x:c r="R76" t="str">
        <x:v>Solo tras permiso para modificar Task Scheduler, verificación e inventario de tareas existentes.</x:v>
      </x:c>
      <x:c r="S76" t="str">
        <x:v>Cambios a tareas reales/host requieren aprobación; popups Freebuff siguen externos.</x:v>
      </x:c>
      <x:c r="T76" t="str">
        <x:v>PROPOSED_DEPLOYMENT_GATE</x:v>
      </x:c>
      <x:c r="U76" t="str">
        <x:v>Preparación offline permitida; no activar ni deshabilitar programas sin consentimiento.</x:v>
      </x:c>
    </x:row>
  </x:sheetData>
  <x:mergeCells>
    <x:mergeCell ref="A1:U2"/>
    <x:mergeCell ref="A3:U3"/>
  </x:mergeCells>
  <x:conditionalFormatting sqref="F6:F165">
    <x:cfRule type="expression" dxfId="0" priority="1">
      <x:formula>F6="VERIFICADO_FOCAL"</x:formula>
    </x:cfRule>
    <x:cfRule type="expression" dxfId="1" priority="2">
      <x:formula>F6="IMPLEMENTADO"</x:formula>
    </x:cfRule>
    <x:cfRule type="expression" dxfId="2" priority="3">
      <x:formula>F6="EN_CURSO"</x:formula>
    </x:cfRule>
    <x:cfRule type="expression" dxfId="3" priority="4">
      <x:formula>F6="PENDIENTE"</x:formula>
    </x:cfRule>
    <x:cfRule type="expression" dxfId="4" priority="5">
      <x:formula>F6="PLANIFICADO"</x:formula>
    </x:cfRule>
    <x:cfRule type="expression" dxfId="5" priority="6">
      <x:formula>F6="PROPUESTO"</x:formula>
    </x:cfRule>
    <x:cfRule type="expression" dxfId="6" priority="7">
      <x:formula>F6="BLOQUEADO"</x:formula>
    </x:cfRule>
    <x:cfRule type="expression" dxfId="7" priority="8">
      <x:formula>F6="RECHAZADO"</x:formula>
    </x:cfRule>
    <x:cfRule type="expression" dxfId="8" priority="9">
      <x:formula>F6="NO_APLICA"</x:formula>
    </x:cfRule>
  </x:conditionalFormatting>
  <x:conditionalFormatting sqref="H6:H65">
    <x:cfRule type="dataBar" priority="10">
      <x:dataBar>
        <x:cfvo type="min"/>
        <x:cfvo type="max"/>
        <x:color rgb="FF007E87"/>
      </x:dataBar>
      <x:extLst>
        <x:ext xmlns:x14="http://schemas.microsoft.com/office/spreadsheetml/2009/9/main" uri="{B025F937-C7B1-47D3-B67F-A62EFF666E3E}">
          <x14:id>{1692015C-E4D6-87A2-08E9-F4CBFA0C5CBE}</x14:id>
        </x:ext>
      </x:extLst>
    </x:cfRule>
  </x:conditionalFormatting>
  <x:dataValidations count="2">
    <x:dataValidation type="list" sqref="G6:G65">
      <x:formula1>"P0,P1,P2,P3"</x:formula1>
    </x:dataValidation>
    <x:dataValidation type="list" sqref="F6:F165">
      <x:formula1>"VERIFICADO_FOCAL,IMPLEMENTADO,EN_CURSO,PENDIENTE,PLANIFICADO,PROPUESTO,BLOQUEADO,RECHAZADO,NO_APLICA"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87323a529842e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0" id="{1692015C-E4D6-87A2-08E9-F4CBFA0C5CBE}">
            <x14:dataBar gradient="0">
              <x14:cfvo type="min"/>
              <x14:cfvo type="max"/>
              <x14:fillColor rgb="FF007E87"/>
            </x14:dataBar>
          </x14:cfRule>
          <xm:sqref>H6:H65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75" hidden="0" customWidth="1"/>
    <x:col min="4" max="4" width="21" hidden="0" customWidth="1"/>
    <x:col min="5" max="5" width="30" hidden="0" customWidth="1"/>
    <x:col min="6" max="6" width="19" hidden="0" customWidth="1"/>
  </x:cols>
  <x:sheetData>
    <x:row r="1" ht="26" customHeight="1">
      <x:c r="A1" s="4" t="str">
        <x:v>FASES 0–15 | estado de arquitectura</x:v>
      </x:c>
      <x:c r="B1" s="4"/>
      <x:c r="C1" s="4"/>
      <x:c r="D1" s="4"/>
      <x:c r="E1" s="4"/>
      <x:c r="F1" s="4"/>
    </x:row>
    <x:row r="2" ht="26" customHeight="1">
      <x:c r="A2" s="4"/>
      <x:c r="B2" s="4"/>
      <x:c r="C2" s="4"/>
      <x:c r="D2" s="4"/>
      <x:c r="E2" s="4"/>
      <x:c r="F2" s="4"/>
    </x:row>
    <x:row r="3" ht="24" customHeight="1">
      <x:c r="A3" s="10" t="str">
        <x:v>Estado de cada área: autoridad real del runtime por delante de RFCs y diseños.</x:v>
      </x:c>
      <x:c r="B3" s="10"/>
      <x:c r="C3" s="10"/>
      <x:c r="D3" s="10"/>
      <x:c r="E3" s="10"/>
      <x:c r="F3" s="10"/>
    </x:row>
    <x:row r="4" ht="9" customHeight="1"/>
    <x:row r="5" ht="34" customHeight="1">
      <x:c r="A5" s="16" t="str">
        <x:v>Fase</x:v>
      </x:c>
      <x:c r="B5" s="16" t="str">
        <x:v>Estado</x:v>
      </x:c>
      <x:c r="C5" s="16" t="str">
        <x:v>Resultado / límite</x:v>
      </x:c>
      <x:c r="D5" s="16" t="str">
        <x:v>Fuente</x:v>
      </x:c>
      <x:c r="E5" s="16" t="str">
        <x:v>Gate</x:v>
      </x:c>
      <x:c r="F5" s="16" t="str">
        <x:v>Actualización</x:v>
      </x:c>
    </x:row>
    <x:row r="6" ht="31" customHeight="1">
      <x:c r="A6" s="22" t="str">
        <x:v>00 Auditoría</x:v>
      </x:c>
      <x:c r="B6" s="22" t="str">
        <x:v>PARCIAL</x:v>
      </x:c>
      <x:c r="C6" s="22" t="str">
        <x:v>Runtime económico auditado por rama; main no integrado, suite global 14 FAIL.</x:v>
      </x:c>
      <x:c r="D6" s="22" t="str">
        <x:v>VNext</x:v>
      </x:c>
      <x:c r="E6" s="22" t="str">
        <x:v>RUNTIME_AUTHORITY_GAP</x:v>
      </x:c>
      <x:c r="F6" s="22" t="str">
        <x:v>2026-10-18</x:v>
      </x:c>
    </x:row>
    <x:row r="7" ht="31" customHeight="1">
      <x:c r="A7" s="22" t="str">
        <x:v>01 Research</x:v>
      </x:c>
      <x:c r="B7" s="22" t="str">
        <x:v>VERIFICADO_FOCAL</x:v>
      </x:c>
      <x:c r="C7" s="22" t="str">
        <x:v>REA estructuras JS; Python Fenix instrumentado; patrones sin certificación funcional.</x:v>
      </x:c>
      <x:c r="D7" s="22" t="str">
        <x:v>VNext</x:v>
      </x:c>
      <x:c r="E7" s="22" t="str">
        <x:v>RUNTIME_AUTHORITY_GAP</x:v>
      </x:c>
      <x:c r="F7" s="22" t="str">
        <x:v>2026-10-18</x:v>
      </x:c>
    </x:row>
    <x:row r="8" ht="31" customHeight="1">
      <x:c r="A8" s="22" t="str">
        <x:v>02 Arquitectura</x:v>
      </x:c>
      <x:c r="B8" s="22" t="str">
        <x:v>DISEÑADO</x:v>
      </x:c>
      <x:c r="C8" s="22" t="str">
        <x:v>VNext y RFCs; la arquitectura propuesta no equivale a runtime.</x:v>
      </x:c>
      <x:c r="D8" s="22" t="str">
        <x:v>VNext</x:v>
      </x:c>
      <x:c r="E8" s="22" t="str">
        <x:v>RUNTIME_AUTHORITY_GAP</x:v>
      </x:c>
      <x:c r="F8" s="22" t="str">
        <x:v>2026-10-18</x:v>
      </x:c>
    </x:row>
    <x:row r="9" ht="31" customHeight="1">
      <x:c r="A9" s="22" t="str">
        <x:v>03 Runtime Authority</x:v>
      </x:c>
      <x:c r="B9" s="22" t="str">
        <x:v>PARCIAL</x:v>
      </x:c>
      <x:c r="C9" s="22" t="str">
        <x:v>Paper y Risk canónicos, permisos; falta integrar ramas, CI y runtime map completo. Ventanas Bash Windows reportadas: raíz por verificar.</x:v>
      </x:c>
      <x:c r="D9" s="22" t="str">
        <x:v>VNext</x:v>
      </x:c>
      <x:c r="E9" s="22" t="str">
        <x:v>RUNTIME_AUTHORITY_GAP</x:v>
      </x:c>
      <x:c r="F9" s="22" t="str">
        <x:v>2026-10-18</x:v>
      </x:c>
    </x:row>
    <x:row r="10" ht="31" customHeight="1">
      <x:c r="A10" s="22" t="str">
        <x:v>04 Foundation</x:v>
      </x:c>
      <x:c r="B10" s="22" t="str">
        <x:v>VERIFICADO_FOCAL</x:v>
      </x:c>
      <x:c r="C10" s="22" t="str">
        <x:v>BOT-VIS-01, BOT-CTX-01 y capability registry en ramas AI.</x:v>
      </x:c>
      <x:c r="D10" s="22" t="str">
        <x:v>VNext</x:v>
      </x:c>
      <x:c r="E10" s="22" t="str">
        <x:v>RUNTIME_AUTHORITY_GAP</x:v>
      </x:c>
      <x:c r="F10" s="22" t="str">
        <x:v>2026-10-18</x:v>
      </x:c>
    </x:row>
    <x:row r="11" ht="31" customHeight="1">
      <x:c r="A11" s="22" t="str">
        <x:v>05 Communication</x:v>
      </x:c>
      <x:c r="B11" s="22" t="str">
        <x:v>PLANIFICADO</x:v>
      </x:c>
      <x:c r="C11" s="22" t="str">
        <x:v>Contratos estructura critic/AgentMessage aún incompletos.</x:v>
      </x:c>
      <x:c r="D11" s="22" t="str">
        <x:v>VNext</x:v>
      </x:c>
      <x:c r="E11" s="22" t="str">
        <x:v>RUNTIME_AUTHORITY_GAP</x:v>
      </x:c>
      <x:c r="F11" s="22" t="str">
        <x:v>2026-10-18</x:v>
      </x:c>
    </x:row>
    <x:row r="12" ht="31" customHeight="1">
      <x:c r="A12" s="22" t="str">
        <x:v>06 Market Intelligence</x:v>
      </x:c>
      <x:c r="B12" s="22" t="str">
        <x:v>PLANIFICADO</x:v>
      </x:c>
      <x:c r="C12" s="22" t="str">
        <x:v>MarketContext y régimen aún no certificados en runtime principal.</x:v>
      </x:c>
      <x:c r="D12" s="22" t="str">
        <x:v>VNext</x:v>
      </x:c>
      <x:c r="E12" s="22" t="str">
        <x:v>RUNTIME_AUTHORITY_GAP</x:v>
      </x:c>
      <x:c r="F12" s="22" t="str">
        <x:v>2026-10-18</x:v>
      </x:c>
    </x:row>
    <x:row r="13" ht="31" customHeight="1">
      <x:c r="A13" s="22" t="str">
        <x:v>07 Asset Intelligence</x:v>
      </x:c>
      <x:c r="B13" s="22" t="str">
        <x:v>PARCIAL</x:v>
      </x:c>
      <x:c r="C13" s="22" t="str">
        <x:v>PIT/data coverage probados en bloque C; AssetMemory propuesta.</x:v>
      </x:c>
      <x:c r="D13" s="22" t="str">
        <x:v>VNext</x:v>
      </x:c>
      <x:c r="E13" s="22" t="str">
        <x:v>RUNTIME_AUTHORITY_GAP</x:v>
      </x:c>
      <x:c r="F13" s="22" t="str">
        <x:v>2026-10-18</x:v>
      </x:c>
    </x:row>
    <x:row r="14" ht="31" customHeight="1">
      <x:c r="A14" s="22" t="str">
        <x:v>08 Strategy Intelligence</x:v>
      </x:c>
      <x:c r="B14" s="22" t="str">
        <x:v>PARCIAL</x:v>
      </x:c>
      <x:c r="C14" s="22" t="str">
        <x:v>Experimentos y router research, sin estrategia admitida.</x:v>
      </x:c>
      <x:c r="D14" s="22" t="str">
        <x:v>VNext</x:v>
      </x:c>
      <x:c r="E14" s="22" t="str">
        <x:v>RUNTIME_AUTHORITY_GAP</x:v>
      </x:c>
      <x:c r="F14" s="22" t="str">
        <x:v>2026-10-18</x:v>
      </x:c>
    </x:row>
    <x:row r="15" ht="31" customHeight="1">
      <x:c r="A15" s="22" t="str">
        <x:v>09 Decision / critic</x:v>
      </x:c>
      <x:c r="B15" s="22" t="str">
        <x:v>EN_CURSO</x:v>
      </x:c>
      <x:c r="C15" s="22" t="str">
        <x:v>AI decisor mock; BOT-CRI-01 RFC-004 propuesto.</x:v>
      </x:c>
      <x:c r="D15" s="22" t="str">
        <x:v>VNext</x:v>
      </x:c>
      <x:c r="E15" s="22" t="str">
        <x:v>RUNTIME_AUTHORITY_GAP</x:v>
      </x:c>
      <x:c r="F15" s="22" t="str">
        <x:v>2026-10-18</x:v>
      </x:c>
    </x:row>
    <x:row r="16" ht="31" customHeight="1">
      <x:c r="A16" s="22" t="str">
        <x:v>10 Risk / Portfolio</x:v>
      </x:c>
      <x:c r="B16" s="22" t="str">
        <x:v>VERIFICADO_FOCAL</x:v>
      </x:c>
      <x:c r="C16" s="22" t="str">
        <x:v>Riesgo semanal, MTM, gaps; suites focales, no full global.</x:v>
      </x:c>
      <x:c r="D16" s="22" t="str">
        <x:v>VNext</x:v>
      </x:c>
      <x:c r="E16" s="22" t="str">
        <x:v>RUNTIME_AUTHORITY_GAP</x:v>
      </x:c>
      <x:c r="F16" s="22" t="str">
        <x:v>2026-10-18</x:v>
      </x:c>
    </x:row>
    <x:row r="17" ht="31" customHeight="1">
      <x:c r="A17" s="22" t="str">
        <x:v>11 Memory</x:v>
      </x:c>
      <x:c r="B17" s="22" t="str">
        <x:v>PLANIFICADO</x:v>
      </x:c>
      <x:c r="C17" s="22" t="str">
        <x:v>Separación de memorias y aprendizaje offline sin auto producción.</x:v>
      </x:c>
      <x:c r="D17" s="22" t="str">
        <x:v>VNext</x:v>
      </x:c>
      <x:c r="E17" s="22" t="str">
        <x:v>RUNTIME_AUTHORITY_GAP</x:v>
      </x:c>
      <x:c r="F17" s="22" t="str">
        <x:v>2026-10-18</x:v>
      </x:c>
    </x:row>
    <x:row r="18" ht="31" customHeight="1">
      <x:c r="A18" s="22" t="str">
        <x:v>12 Observabilidad</x:v>
      </x:c>
      <x:c r="B18" s="22" t="str">
        <x:v>VERIFICADO_FOCAL</x:v>
      </x:c>
      <x:c r="C18" s="22" t="str">
        <x:v>EVIDENCE-004F y ledgers; CI global pendiente.</x:v>
      </x:c>
      <x:c r="D18" s="22" t="str">
        <x:v>VNext</x:v>
      </x:c>
      <x:c r="E18" s="22" t="str">
        <x:v>RUNTIME_AUTHORITY_GAP</x:v>
      </x:c>
      <x:c r="F18" s="22" t="str">
        <x:v>2026-10-18</x:v>
      </x:c>
    </x:row>
    <x:row r="19" ht="31" customHeight="1">
      <x:c r="A19" s="22" t="str">
        <x:v>13 Agent Utility</x:v>
      </x:c>
      <x:c r="B19" s="22" t="str">
        <x:v>BLOQUEADO</x:v>
      </x:c>
      <x:c r="C19" s="22" t="str">
        <x:v>Sin IA real, ablation/edge real pendientes; baseline neto negativo.</x:v>
      </x:c>
      <x:c r="D19" s="22" t="str">
        <x:v>VNext</x:v>
      </x:c>
      <x:c r="E19" s="22" t="str">
        <x:v>RUNTIME_AUTHORITY_GAP</x:v>
      </x:c>
      <x:c r="F19" s="22" t="str">
        <x:v>2026-10-18</x:v>
      </x:c>
    </x:row>
    <x:row r="20" ht="31" customHeight="1">
      <x:c r="A20" s="22" t="str">
        <x:v>14 Paper</x:v>
      </x:c>
      <x:c r="B20" s="22" t="str">
        <x:v>PARCIAL</x:v>
      </x:c>
      <x:c r="C20" s="22" t="str">
        <x:v>Replays paper 1h mock ejecutados; paper prospectivo contínuo pendiente.</x:v>
      </x:c>
      <x:c r="D20" s="22" t="str">
        <x:v>VNext</x:v>
      </x:c>
      <x:c r="E20" s="22" t="str">
        <x:v>RUNTIME_AUTHORITY_GAP</x:v>
      </x:c>
      <x:c r="F20" s="22" t="str">
        <x:v>2026-10-18</x:v>
      </x:c>
    </x:row>
    <x:row r="21" ht="31" customHeight="1">
      <x:c r="A21" s="22" t="str">
        <x:v>15 Shadow / Canary</x:v>
      </x:c>
      <x:c r="B21" s="22" t="str">
        <x:v>PLANIFICADO</x:v>
      </x:c>
      <x:c r="C21" s="22" t="str">
        <x:v>Critic SHADOW preparado, no ejecutado; canary live prohibido.</x:v>
      </x:c>
      <x:c r="D21" s="22" t="str">
        <x:v>VNext</x:v>
      </x:c>
      <x:c r="E21" s="22" t="str">
        <x:v>RUNTIME_AUTHORITY_GAP</x:v>
      </x:c>
      <x:c r="F21" s="22" t="str">
        <x:v>2026-10-18</x:v>
      </x:c>
    </x:row>
  </x:sheetData>
  <x:mergeCells>
    <x:mergeCell ref="A1:F2"/>
    <x:mergeCell ref="A3:F3"/>
  </x:mergeCells>
  <x:conditionalFormatting sqref="B6:B21">
    <x:cfRule type="expression" dxfId="9" priority="1">
      <x:formula>B6="VERIFICADO_FOCAL"</x:formula>
    </x:cfRule>
    <x:cfRule type="expression" dxfId="10" priority="2">
      <x:formula>B6="IMPLEMENTADO"</x:formula>
    </x:cfRule>
    <x:cfRule type="expression" dxfId="11" priority="3">
      <x:formula>B6="EN_CURSO"</x:formula>
    </x:cfRule>
    <x:cfRule type="expression" dxfId="12" priority="4">
      <x:formula>B6="PENDIENTE"</x:formula>
    </x:cfRule>
    <x:cfRule type="expression" dxfId="13" priority="5">
      <x:formula>B6="PLANIFICADO"</x:formula>
    </x:cfRule>
    <x:cfRule type="expression" dxfId="14" priority="6">
      <x:formula>B6="PROPUESTO"</x:formula>
    </x:cfRule>
    <x:cfRule type="expression" dxfId="15" priority="7">
      <x:formula>B6="BLOQUEADO"</x:formula>
    </x:cfRule>
    <x:cfRule type="expression" dxfId="16" priority="8">
      <x:formula>B6="RECHAZADO"</x:formula>
    </x:cfRule>
    <x:cfRule type="expression" dxfId="17" priority="9">
      <x:formula>B6="NO_APLICA"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32b6d884fb47a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24" hidden="0" customWidth="1"/>
    <x:col min="3" max="3" width="21" hidden="0" customWidth="1"/>
    <x:col min="4" max="4" width="75" hidden="0" customWidth="1"/>
    <x:col min="5" max="5" width="32" hidden="0" customWidth="1"/>
    <x:col min="6" max="6" width="45" hidden="0" customWidth="1"/>
    <x:col min="7" max="7" width="65" hidden="0" customWidth="1"/>
    <x:col min="8" max="8" width="17" hidden="0" customWidth="1"/>
  </x:cols>
  <x:sheetData>
    <x:row r="1" ht="26" customHeight="1">
      <x:c r="A1" s="4" t="str">
        <x:v>RFC Y WORK PACKAGES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10" t="str">
        <x:v>Una implementación de RFC en una rama NO implica merge a main, CI global ni producción.</x:v>
      </x:c>
      <x:c r="B3" s="10"/>
      <x:c r="C3" s="10"/>
      <x:c r="D3" s="10"/>
      <x:c r="E3" s="10"/>
      <x:c r="F3" s="10"/>
      <x:c r="G3" s="10"/>
      <x:c r="H3" s="10"/>
    </x:row>
    <x:row r="4" ht="9" customHeight="1"/>
    <x:row r="5" ht="34" customHeight="1">
      <x:c r="A5" s="16" t="str">
        <x:v>RFC / WP</x:v>
      </x:c>
      <x:c r="B5" s="16" t="str">
        <x:v>Área</x:v>
      </x:c>
      <x:c r="C5" s="16" t="str">
        <x:v>Estado</x:v>
      </x:c>
      <x:c r="D5" s="16" t="str">
        <x:v>Resultado y limitación</x:v>
      </x:c>
      <x:c r="E5" s="16" t="str">
        <x:v>Commit / evidencia</x:v>
      </x:c>
      <x:c r="F5" s="16" t="str">
        <x:v>IDs del roadmap</x:v>
      </x:c>
      <x:c r="G5" s="16" t="str">
        <x:v>Enlace GitHub</x:v>
      </x:c>
      <x:c r="H5" s="16" t="str">
        <x:v>Actualización</x:v>
      </x:c>
    </x:row>
    <x:row r="6" ht="31" customHeight="1">
      <x:c r="A6" s="22" t="str">
        <x:v>RFC-AI-VISION-001</x:v>
      </x:c>
      <x:c r="B6" s="22" t="str">
        <x:v>IA visual</x:v>
      </x:c>
      <x:c r="C6" s="22" t="str">
        <x:v>VERIFICADO_FOCAL</x:v>
      </x:c>
      <x:c r="D6" s="22" t="str">
        <x:v>Visión PNG + contratos + provider + ledger, sin modelo real</x:v>
      </x:c>
      <x:c r="E6" s="22" t="str">
        <x:v>091d55d / e4db7da</x:v>
      </x:c>
      <x:c r="F6" s="22" t="str">
        <x:v>TAP-012;TAP-014</x:v>
      </x:c>
      <x:c r="G6" s="22" t="str">
        <x:v>https://github.com/Extr3sao/bot_crypto/tree/agent/ai-vision/RFC-AI-VISION-001/src/trading_bot/vision</x:v>
      </x:c>
      <x:c r="H6" s="22" t="str">
        <x:v>2026-10-18</x:v>
      </x:c>
    </x:row>
    <x:row r="7" ht="31" customHeight="1">
      <x:c r="A7" s="22" t="str">
        <x:v>RFC-TAP-AI-BOTS-002</x:v>
      </x:c>
      <x:c r="B7" s="22" t="str">
        <x:v>REA/Bots</x:v>
      </x:c>
      <x:c r="C7" s="22" t="str">
        <x:v>VERIFICADO_FOCAL</x:v>
      </x:c>
      <x:c r="D7" s="22" t="str">
        <x:v>REA real selectivo; 2/7 artefactos REA por hash; VIS y CTX ya existen</x:v>
      </x:c>
      <x:c r="E7" s="22" t="str">
        <x:v>4dba317 / c4e6e3b</x:v>
      </x:c>
      <x:c r="F7" s="22" t="str">
        <x:v>TAP-008;TAP-009;TAP-010;TAP-013</x:v>
      </x:c>
      <x:c r="G7" s="22" t="str">
        <x:v>https://github.com/Extr3sao/bot_crypto/issues/11</x:v>
      </x:c>
      <x:c r="H7" s="22" t="str">
        <x:v>2026-10-18</x:v>
      </x:c>
    </x:row>
    <x:row r="8" ht="31" customHeight="1">
      <x:c r="A8" s="22" t="str">
        <x:v>RFC-TAP-EVIDENCE-004</x:v>
      </x:c>
      <x:c r="B8" s="22" t="str">
        <x:v>Gobernanza</x:v>
      </x:c>
      <x:c r="C8" s="22" t="str">
        <x:v>VERIFICADO_FOCAL</x:v>
      </x:c>
      <x:c r="D8" s="22" t="str">
        <x:v>Ledger normalizado, verified receipts, supersession, cierre 004F</x:v>
      </x:c>
      <x:c r="E8" s="22" t="str">
        <x:v>b7e100a</x:v>
      </x:c>
      <x:c r="F8" s="22" t="str">
        <x:v>TAP-004;TAP-005;TAP-006</x:v>
      </x:c>
      <x:c r="G8" s="22" t="str">
        <x:v>https://github.com/Extr3sao/bot_crypto/issues/13</x:v>
      </x:c>
      <x:c r="H8" s="22" t="str">
        <x:v>2026-10-18</x:v>
      </x:c>
    </x:row>
    <x:row r="9" ht="31" customHeight="1">
      <x:c r="A9" s="22" t="str">
        <x:v>WP-EDGE-017F</x:v>
      </x:c>
      <x:c r="B9" s="22" t="str">
        <x:v>Económico</x:v>
      </x:c>
      <x:c r="C9" s="22" t="str">
        <x:v>VERIFICADO_FOCAL</x:v>
      </x:c>
      <x:c r="D9" s="22" t="str">
        <x:v>Risk weekly/drawdown corregidos y replay neto NEGATIVO</x:v>
      </x:c>
      <x:c r="E9" s="22" t="str">
        <x:v>b17644a</x:v>
      </x:c>
      <x:c r="F9" s="22" t="str">
        <x:v>TAP-002;TAP-003;TAP-036;TAP-037</x:v>
      </x:c>
      <x:c r="G9" s="22" t="str">
        <x:v>https://github.com/Extr3sao/bot_crypto/blob/agent/edge-recovery/WP-EDGE-00-baseline/reports/economic-recovery/RFC-EDGE-017/FINAL_REPORT.md</x:v>
      </x:c>
      <x:c r="H9" s="22" t="str">
        <x:v>2026-10-18</x:v>
      </x:c>
    </x:row>
    <x:row r="10" ht="31" customHeight="1">
      <x:c r="A10" s="22" t="str">
        <x:v>RFC-TAP-AI-BOTS-003 A</x:v>
      </x:c>
      <x:c r="B10" s="22" t="str">
        <x:v>Reloj</x:v>
      </x:c>
      <x:c r="C10" s="22" t="str">
        <x:v>VERIFICADO_FOCAL</x:v>
      </x:c>
      <x:c r="D10" s="22" t="str">
        <x:v>Bar close PIT y risk equity MTM</x:v>
      </x:c>
      <x:c r="E10" s="22" t="str">
        <x:v>2921f6d</x:v>
      </x:c>
      <x:c r="F10" s="22" t="str">
        <x:v>TAP-016;TAP-017</x:v>
      </x:c>
      <x:c r="G10" s="22" t="str">
        <x:v>https://github.com/Extr3sao/bot_crypto/issues/12</x:v>
      </x:c>
      <x:c r="H10" s="22" t="str">
        <x:v>2026-10-18</x:v>
      </x:c>
    </x:row>
    <x:row r="11" ht="31" customHeight="1">
      <x:c r="A11" s="22" t="str">
        <x:v>RFC-TAP-AI-BOTS-003 B</x:v>
      </x:c>
      <x:c r="B11" s="22" t="str">
        <x:v>Paper causal</x:v>
      </x:c>
      <x:c r="C11" s="22" t="str">
        <x:v>VERIFICADO_FOCAL</x:v>
      </x:c>
      <x:c r="D11" s="22" t="str">
        <x:v>Primer precio de apertura posterior + stops y costes</x:v>
      </x:c>
      <x:c r="E11" s="22" t="str">
        <x:v>ffbc0ca</x:v>
      </x:c>
      <x:c r="F11" s="22" t="str">
        <x:v>TAP-018;TAP-019</x:v>
      </x:c>
      <x:c r="G11" s="22" t="str">
        <x:v>https://github.com/Extr3sao/bot_crypto/issues/12</x:v>
      </x:c>
      <x:c r="H11" s="22" t="str">
        <x:v>2026-10-18</x:v>
      </x:c>
    </x:row>
    <x:row r="12" ht="31" customHeight="1">
      <x:c r="A12" s="22" t="str">
        <x:v>RFC-TAP-AI-BOTS-003 C</x:v>
      </x:c>
      <x:c r="B12" s="22" t="str">
        <x:v>Risk gaps</x:v>
      </x:c>
      <x:c r="C12" s="22" t="str">
        <x:v>VERIFICADO_FOCAL</x:v>
      </x:c>
      <x:c r="D12" s="22" t="str">
        <x:v>OPEN GAPS+risk y cobertura PIT; 459 tests focales previos; 120 checks/53 mutaciones regeneradas; pin datos 1000 bars</x:v>
      </x:c>
      <x:c r="E12" s="22" t="str">
        <x:v>86d4f12 · 0841d37 (pines y reproducibilidad)</x:v>
      </x:c>
      <x:c r="F12" s="22" t="str">
        <x:v>TAP-020;TAP-021;TAP-022</x:v>
      </x:c>
      <x:c r="G12" s="22" t="str">
        <x:v>https://github.com/Extr3sao/bot_crypto/issues/12</x:v>
      </x:c>
      <x:c r="H12" s="22" t="str">
        <x:v>2026-10-18</x:v>
      </x:c>
    </x:row>
    <x:row r="13" ht="31" customHeight="1">
      <x:c r="A13" s="22" t="str">
        <x:v>RFC-TAP-AI-BOTS-003 D/E</x:v>
      </x:c>
      <x:c r="B13" s="22" t="str">
        <x:v>Modelo y captura</x:v>
      </x:c>
      <x:c r="C13" s="22" t="str">
        <x:v>PENDIENTE</x:v>
      </x:c>
      <x:c r="D13" s="22" t="str">
        <x:v>Receipts reales, provider offline, feed sub-bar y prospectivo</x:v>
      </x:c>
      <x:c r="E13" s="22" t="str">
        <x:v>No ejecutado</x:v>
      </x:c>
      <x:c r="F13" s="22" t="str">
        <x:v>TAP-023;TAP-024;TAP-025</x:v>
      </x:c>
      <x:c r="G13" s="22" t="str">
        <x:v>https://github.com/Extr3sao/bot_crypto/issues/12</x:v>
      </x:c>
      <x:c r="H13" s="22" t="str">
        <x:v>2026-10-18</x:v>
      </x:c>
    </x:row>
    <x:row r="14" ht="31" customHeight="1">
      <x:c r="A14" s="22" t="str">
        <x:v>RFC-TAP-AI-BOTS-004</x:v>
      </x:c>
      <x:c r="B14" s="22" t="str">
        <x:v>Critic REA</x:v>
      </x:c>
      <x:c r="C14" s="22" t="str">
        <x:v>PROPUESTO</x:v>
      </x:c>
      <x:c r="D14" s="22" t="str">
        <x:v>TradingAgents → REA HTML + Python debate → BOT-CRI-01 SHADOW</x:v>
      </x:c>
      <x:c r="E14" s="22" t="str">
        <x:v>Issue #14; paquete preparado</x:v>
      </x:c>
      <x:c r="F14" s="22" t="str">
        <x:v>TAP-027;TAP-028;TAP-029;TAP-030;TAP-031</x:v>
      </x:c>
      <x:c r="G14" s="22" t="str">
        <x:v>https://github.com/Extr3sao/bot_crypto/issues/14</x:v>
      </x:c>
      <x:c r="H14" s="22" t="str">
        <x:v>2026-10-18</x:v>
      </x:c>
    </x:row>
    <x:row r="15" ht="31" customHeight="1">
      <x:c r="A15" s="22" t="str">
        <x:v>RFC-TAP-EDGE-001</x:v>
      </x:c>
      <x:c r="B15" s="22" t="str">
        <x:v>Estrategias</x:v>
      </x:c>
      <x:c r="C15" s="22" t="str">
        <x:v>PLANIFICADO</x:v>
      </x:c>
      <x:c r="D15" s="22" t="str">
        <x:v>INTRA-A/INTRA-B/TREND-C y validación OOS</x:v>
      </x:c>
      <x:c r="E15" s="22" t="str">
        <x:v>Documento local de diseño</x:v>
      </x:c>
      <x:c r="F15" s="22" t="str">
        <x:v>TAP-038;TAP-039;TAP-040;TAP-041</x:v>
      </x:c>
      <x:c r="G15" s="22" t="str">
        <x:v>https://github.com/Extr3sao/bot_crypto/issues/10</x:v>
      </x:c>
      <x:c r="H15" s="22" t="str">
        <x:v>2026-10-18</x:v>
      </x:c>
    </x:row>
    <x:row r="16" ht="31" customHeight="1">
      <x:c r="A16" s="22" t="str">
        <x:v>STRATEGY ADMISSION</x:v>
      </x:c>
      <x:c r="B16" s="22" t="str">
        <x:v>Estrategias</x:v>
      </x:c>
      <x:c r="C16" s="22" t="str">
        <x:v>BLOQUEADO</x:v>
      </x:c>
      <x:c r="D16" s="22" t="str">
        <x:v>Ninguna estrategia admitida al trading runtime paper</x:v>
      </x:c>
      <x:c r="E16" s="22" t="str">
        <x:v>config/strategy_admission.json 017F</x:v>
      </x:c>
      <x:c r="F16" s="22" t="str">
        <x:v>TAP-035</x:v>
      </x:c>
      <x:c r="G16" s="22" t="str">
        <x:v>https://github.com/Extr3sao/bot_crypto/issues/10</x:v>
      </x:c>
      <x:c r="H16" s="22" t="str">
        <x:v>2026-10-18</x:v>
      </x:c>
    </x:row>
    <x:row r="17" ht="31" customHeight="1">
      <x:c r="A17" s="22" t="str">
        <x:v>MASTER PLATFORM VNEXT</x:v>
      </x:c>
      <x:c r="B17" s="22" t="str">
        <x:v>Arquitectura</x:v>
      </x:c>
      <x:c r="C17" s="22" t="str">
        <x:v>DISEÑADO</x:v>
      </x:c>
      <x:c r="D17" s="22" t="str">
        <x:v>Multi-asset, multi-strategy, multi-agent; sin certificar end-to-end</x:v>
      </x:c>
      <x:c r="E17" s="22" t="str">
        <x:v>14 docs de referencia</x:v>
      </x:c>
      <x:c r="F17" s="22" t="str">
        <x:v>TAP-032;TAP-033;TAP-034;TAP-044</x:v>
      </x:c>
      <x:c r="G17" s="22" t="str">
        <x:v>https://github.com/Extr3sao/bot_crypto</x:v>
      </x:c>
      <x:c r="H17" s="22" t="str">
        <x:v>2026-10-18</x:v>
      </x:c>
    </x:row>
    <x:row r="18" ht="31" customHeight="1">
      <x:c r="A18" s="22" t="str">
        <x:v>ROADMAP-MASTER-001</x:v>
      </x:c>
      <x:c r="B18" s="22" t="str">
        <x:v>Gestión proyecto</x:v>
      </x:c>
      <x:c r="C18" s="22" t="str">
        <x:v>EN_CURSO</x:v>
      </x:c>
      <x:c r="D18" s="22" t="str">
        <x:v>Excel vivo y tracker versionado + control de cambios</x:v>
      </x:c>
      <x:c r="E18" s="22" t="str">
        <x:v>Corte 2026-10-18</x:v>
      </x:c>
      <x:c r="F18" s="22" t="str">
        <x:v>TAP-056;TAP-057</x:v>
      </x:c>
      <x:c r="G18" s="22" t="str">
        <x:v>https://github.com/Extr3sao/bot_crypto</x:v>
      </x:c>
      <x:c r="H18" s="22" t="str">
        <x:v>2026-10-18</x:v>
      </x:c>
    </x:row>
    <x:row r="19">
      <x:c r="A19" t="str">
        <x:v>WP-OPS-BACKGROUND-001</x:v>
      </x:c>
      <x:c r="B19" t="str">
        <x:v>Windows UX</x:v>
      </x:c>
      <x:c r="C19" t="str">
        <x:v>VERIFICADO_FOCAL</x:v>
      </x:c>
      <x:c r="D19" t="str">
        <x:v>Windowless propio probado; bloqueo Freebuff externo y tarea programada sin activar</x:v>
      </x:c>
      <x:c r="E19" t="str">
        <x:v>fe9b5e2 · FINAL_REPORT / RUN_REPORT</x:v>
      </x:c>
      <x:c r="F19" t="str">
        <x:v>TAP-061;TAP-062;TAP-063</x:v>
      </x:c>
      <x:c r="G19" t="str">
        <x:v>https://github.com/Extr3sao/bot_crypto/blob/agent/ai-bots/RFC-TAP-AI-BOTS-003/reports/ops/WP-OPS-BACKGROUND-001/FINAL_REPORT.md</x:v>
      </x:c>
      <x:c r="H19" t="str">
        <x:v>2026-10-18</x:v>
      </x:c>
    </x:row>
    <x:row r="20">
      <x:c r="A20" t="str">
        <x:v>RFC-TAP-MARKET-005</x:v>
      </x:c>
      <x:c r="B20" t="str">
        <x:v>Market Data &amp; AI</x:v>
      </x:c>
      <x:c r="C20" t="str">
        <x:v>PROPUESTO</x:v>
      </x:c>
      <x:c r="D20" t="str">
        <x:v>Auditoría de recargas 1000/500/500 + incremental PIT + triggers IA por evento; despliegue solo autorizado</x:v>
      </x:c>
      <x:c r="E20" t="str">
        <x:v>RFC + auditoría + issue #16 (sin código ni runtime nuevo)</x:v>
      </x:c>
      <x:c r="F20" t="str">
        <x:v>TAP-064..TAP-071</x:v>
      </x:c>
      <x:c r="G20" t="str">
        <x:v>https://github.com/Extr3sao/bot_crypto/issues/16</x:v>
      </x:c>
      <x:c r="H20" t="str">
        <x:v>2026-10-18</x:v>
      </x:c>
    </x:row>
  </x:sheetData>
  <x:mergeCells>
    <x:mergeCell ref="A1:H2"/>
    <x:mergeCell ref="A3:H3"/>
  </x:mergeCells>
  <x:conditionalFormatting sqref="C6:C18">
    <x:cfRule type="expression" dxfId="18" priority="1">
      <x:formula>C6="VERIFICADO_FOCAL"</x:formula>
    </x:cfRule>
    <x:cfRule type="expression" dxfId="19" priority="2">
      <x:formula>C6="IMPLEMENTADO"</x:formula>
    </x:cfRule>
    <x:cfRule type="expression" dxfId="20" priority="3">
      <x:formula>C6="EN_CURSO"</x:formula>
    </x:cfRule>
    <x:cfRule type="expression" dxfId="21" priority="4">
      <x:formula>C6="PENDIENTE"</x:formula>
    </x:cfRule>
    <x:cfRule type="expression" dxfId="22" priority="5">
      <x:formula>C6="PLANIFICADO"</x:formula>
    </x:cfRule>
    <x:cfRule type="expression" dxfId="23" priority="6">
      <x:formula>C6="PROPUESTO"</x:formula>
    </x:cfRule>
    <x:cfRule type="expression" dxfId="24" priority="7">
      <x:formula>C6="BLOQUEADO"</x:formula>
    </x:cfRule>
    <x:cfRule type="expression" dxfId="25" priority="8">
      <x:formula>C6="RECHAZADO"</x:formula>
    </x:cfRule>
    <x:cfRule type="expression" dxfId="26" priority="9">
      <x:formula>C6="NO_APLICA"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d4f83b78b74817"/>
  </x:tableParts>
</x:worksheet>
</file>

<file path=xl/worksheets/sheet4.xml><?xml version="1.0" encoding="utf-8"?>
<x:worksheet xmlns:x="http://schemas.openxmlformats.org/spreadsheetml/2006/main">
  <x:sheetViews>
    <x:sheetView workbookViewId="0">
      <x:pane xSplit="4" ySplit="5" topLeftCell="E6" activePane="bottomRight" state="frozen"/>
    </x:sheetView>
  </x:sheetViews>
  <x:sheetFormatPr defaultRowHeight="15"/>
  <x:cols>
    <x:col min="1" max="1" width="13" hidden="0" customWidth="1"/>
    <x:col min="2" max="2" width="10" hidden="0" customWidth="1"/>
    <x:col min="3" max="3" width="16" hidden="0" customWidth="1"/>
    <x:col min="4" max="4" width="47" hidden="0" customWidth="1"/>
    <x:col min="5" max="5" width="22" hidden="0" customWidth="1"/>
    <x:col min="6" max="6" width="25" hidden="0" customWidth="1"/>
    <x:col min="7" max="7" width="29" hidden="0" customWidth="1"/>
    <x:col min="8" max="8" width="75" hidden="0" customWidth="1"/>
    <x:col min="9" max="9" width="64" hidden="0" customWidth="1"/>
    <x:col min="10" max="10" width="16" hidden="0" customWidth="1"/>
  </x:cols>
  <x:sheetData>
    <x:row r="1" ht="26" customHeight="1">
      <x:c r="A1" s="4" t="str">
        <x:v>BLOQUEOS, RIESGOS Y DECISIONES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4" customHeight="1">
      <x:c r="A3" s="10" t="str">
        <x:v>Bloqueos levantados solo con ejecución, pruebas, aprobación cuando proceda y evidencia.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 ht="9" customHeight="1"/>
    <x:row r="5" ht="34" customHeight="1">
      <x:c r="A5" s="16" t="str">
        <x:v>ID</x:v>
      </x:c>
      <x:c r="B5" s="16" t="str">
        <x:v>Prio</x:v>
      </x:c>
      <x:c r="C5" s="16" t="str">
        <x:v>Impacto</x:v>
      </x:c>
      <x:c r="D5" s="16" t="str">
        <x:v>Bloqueo</x:v>
      </x:c>
      <x:c r="E5" s="16" t="str">
        <x:v>Frente</x:v>
      </x:c>
      <x:c r="F5" s="16" t="str">
        <x:v>Items afectados</x:v>
      </x:c>
      <x:c r="G5" s="16" t="str">
        <x:v>Código</x:v>
      </x:c>
      <x:c r="H5" s="16" t="str">
        <x:v>Evidencia / lectura</x:v>
      </x:c>
      <x:c r="I5" s="16" t="str">
        <x:v>Siguiente desbloqueo</x:v>
      </x:c>
      <x:c r="J5" s="16" t="str">
        <x:v>Estado</x:v>
      </x:c>
    </x:row>
    <x:row r="6" ht="31" customHeight="1">
      <x:c r="A6" s="22" t="str">
        <x:v>BL-01</x:v>
      </x:c>
      <x:c r="B6" s="22" t="str">
        <x:v>P0</x:v>
      </x:c>
      <x:c r="C6" s="22" t="str">
        <x:v>Alta</x:v>
      </x:c>
      <x:c r="D6" s="22" t="str">
        <x:v>Proveedor de IA real sin credencial/autorización</x:v>
      </x:c>
      <x:c r="E6" s="22" t="str">
        <x:v>MODELO</x:v>
      </x:c>
      <x:c r="F6" s="22" t="str">
        <x:v>TAP-025; TAP-026</x:v>
      </x:c>
      <x:c r="G6" s="22" t="str">
        <x:v>MODEL_API_UNAVAILABLE</x:v>
      </x:c>
      <x:c r="H6" s="22" t="str">
        <x:v>No realizar llamadas de pago ni afirmar real_model_called</x:v>
      </x:c>
      <x:c r="I6" s="22" t="str">
        <x:v>Usuario: key local y autorizar coste acotado</x:v>
      </x:c>
      <x:c r="J6" s="22" t="str">
        <x:v>BLOQUEADO</x:v>
      </x:c>
    </x:row>
    <x:row r="7" ht="31" customHeight="1">
      <x:c r="A7" s="22" t="str">
        <x:v>BL-02</x:v>
      </x:c>
      <x:c r="B7" s="22" t="str">
        <x:v>P0</x:v>
      </x:c>
      <x:c r="C7" s="22" t="str">
        <x:v>Alta</x:v>
      </x:c>
      <x:c r="D7" s="22" t="str">
        <x:v>Sin mejora económica robusta</x:v>
      </x:c>
      <x:c r="E7" s="22" t="str">
        <x:v>RENTABILIDAD</x:v>
      </x:c>
      <x:c r="F7" s="22" t="str">
        <x:v>TAP-041; TAP-058</x:v>
      </x:c>
      <x:c r="G7" s="22" t="str">
        <x:v>ECONOMIC_EDGE_UNPROVEN</x:v>
      </x:c>
      <x:c r="H7" s="22" t="str">
        <x:v>EDGE neto -238.77 USDT; IA mock -15.68/-97.93 en escenarios no equiparables</x:v>
      </x:c>
      <x:c r="I7" s="22" t="str">
        <x:v>Diseñar y correr OOS prospectivo por estrategias</x:v>
      </x:c>
      <x:c r="J7" s="22" t="str">
        <x:v>ABIERTO</x:v>
      </x:c>
    </x:row>
    <x:row r="8" ht="31" customHeight="1">
      <x:c r="A8" s="22" t="str">
        <x:v>BL-03</x:v>
      </x:c>
      <x:c r="B8" s="22" t="str">
        <x:v>P0</x:v>
      </x:c>
      <x:c r="C8" s="22" t="str">
        <x:v>Alta</x:v>
      </x:c>
      <x:c r="D8" s="22" t="str">
        <x:v>Sin estrategia admitida al runtime paper</x:v>
      </x:c>
      <x:c r="E8" s="22" t="str">
        <x:v>TRADING</x:v>
      </x:c>
      <x:c r="F8" s="22" t="str">
        <x:v>TAP-035</x:v>
      </x:c>
      <x:c r="G8" s="22" t="str">
        <x:v>NO_ADMITTED_STRATEGY</x:v>
      </x:c>
      <x:c r="H8" s="22" t="str">
        <x:v>Experiment lane NO equivale canonical paper admission</x:v>
      </x:c>
      <x:c r="I8" s="22" t="str">
        <x:v>Gate OOS/risk y promover solo evidencia</x:v>
      </x:c>
      <x:c r="J8" s="22" t="str">
        <x:v>ABIERTO</x:v>
      </x:c>
    </x:row>
    <x:row r="9" ht="31" customHeight="1">
      <x:c r="A9" s="22" t="str">
        <x:v>BL-04</x:v>
      </x:c>
      <x:c r="B9" s="22" t="str">
        <x:v>P0</x:v>
      </x:c>
      <x:c r="C9" s="22" t="str">
        <x:v>Alta</x:v>
      </x:c>
      <x:c r="D9" s="22" t="str">
        <x:v>Suite full del repo sin PASS</x:v>
      </x:c>
      <x:c r="E9" s="22" t="str">
        <x:v>CALIDAD</x:v>
      </x:c>
      <x:c r="F9" s="22" t="str">
        <x:v>TAP-048</x:v>
      </x:c>
      <x:c r="G9" s="22" t="str">
        <x:v>GLOBAL_TEST_GATE_FAIL</x:v>
      </x:c>
      <x:c r="H9" s="22" t="str">
        <x:v>EDGE 4070 PASS / 14 FAIL; AI full no ejecutada</x:v>
      </x:c>
      <x:c r="I9" s="22" t="str">
        <x:v>Resolver con owner, ejecutar checkout limpio</x:v>
      </x:c>
      <x:c r="J9" s="22" t="str">
        <x:v>ABIERTO</x:v>
      </x:c>
    </x:row>
    <x:row r="10" ht="31" customHeight="1">
      <x:c r="A10" s="22" t="str">
        <x:v>BL-05</x:v>
      </x:c>
      <x:c r="B10" s="22" t="str">
        <x:v>P0</x:v>
      </x:c>
      <x:c r="C10" s="22" t="str">
        <x:v>Alta</x:v>
      </x:c>
      <x:c r="D10" s="22" t="str">
        <x:v>No hay feed prospectivo sub-vela ni latencia real</x:v>
      </x:c>
      <x:c r="E10" s="22" t="str">
        <x:v>DATOS</x:v>
      </x:c>
      <x:c r="F10" s="22" t="str">
        <x:v>TAP-024; TAP-026</x:v>
      </x:c>
      <x:c r="G10" s="22" t="str">
        <x:v>PROSPECTIVE_PRICE_SOURCE_MISSING</x:v>
      </x:c>
      <x:c r="H10" s="22" t="str">
        <x:v>Replays 1h y latencia declarada; no ticks observados</x:v>
      </x:c>
      <x:c r="I10" s="22" t="str">
        <x:v>Implementar collector que registre reception timestamps y hashes</x:v>
      </x:c>
      <x:c r="J10" s="22" t="str">
        <x:v>ABIERTO</x:v>
      </x:c>
    </x:row>
    <x:row r="11" ht="31" customHeight="1">
      <x:c r="A11" s="22" t="str">
        <x:v>BL-06</x:v>
      </x:c>
      <x:c r="B11" s="22" t="str">
        <x:v>P0</x:v>
      </x:c>
      <x:c r="C11" s="22" t="str">
        <x:v>Alta</x:v>
      </x:c>
      <x:c r="D11" s="22" t="str">
        <x:v>Captura continua sin scheduler</x:v>
      </x:c>
      <x:c r="E11" s="22" t="str">
        <x:v>INFRA</x:v>
      </x:c>
      <x:c r="F11" s="22" t="str">
        <x:v>TAP-049</x:v>
      </x:c>
      <x:c r="G11" s="22" t="str">
        <x:v>MANUAL_COLLECTOR</x:v>
      </x:c>
      <x:c r="H11" s="22" t="str">
        <x:v>24 barras manuales, solo 6 al cierre</x:v>
      </x:c>
      <x:c r="I11" s="22" t="str">
        <x:v>Programación sin privilegios si factible; aprobación si admin</x:v>
      </x:c>
      <x:c r="J11" s="22" t="str">
        <x:v>ABIERTO</x:v>
      </x:c>
    </x:row>
    <x:row r="12" ht="31" customHeight="1">
      <x:c r="A12" s="22" t="str">
        <x:v>BL-07</x:v>
      </x:c>
      <x:c r="B12" s="22" t="str">
        <x:v>P0</x:v>
      </x:c>
      <x:c r="C12" s="22" t="str">
        <x:v>Alta</x:v>
      </x:c>
      <x:c r="D12" s="22" t="str">
        <x:v>Host históricamente 99% disco ocupado</x:v>
      </x:c>
      <x:c r="E12" s="22" t="str">
        <x:v>INFRA</x:v>
      </x:c>
      <x:c r="F12" s="22" t="str">
        <x:v>TAP-050</x:v>
      </x:c>
      <x:c r="G12" s="22" t="str">
        <x:v>DISK_PRECHECK_REQUIRED</x:v>
      </x:c>
      <x:c r="H12" s="22" t="str">
        <x:v>Informe 017F habló de ~4.2 GB libres; no lectura de hoy</x:v>
      </x:c>
      <x:c r="I12" s="22" t="str">
        <x:v>Auditar en runtime, no borrar datos ni worktrees ajenos</x:v>
      </x:c>
      <x:c r="J12" s="22" t="str">
        <x:v>ABIERTO</x:v>
      </x:c>
    </x:row>
    <x:row r="13" ht="31" customHeight="1">
      <x:c r="A13" s="22" t="str">
        <x:v>BL-08</x:v>
      </x:c>
      <x:c r="B13" s="22" t="str">
        <x:v>P1</x:v>
      </x:c>
      <x:c r="C13" s="22" t="str">
        <x:v>Media</x:v>
      </x:c>
      <x:c r="D13" s="22" t="str">
        <x:v>Cambios concurrentes ~180 archivos ajenos</x:v>
      </x:c>
      <x:c r="E13" s="22" t="str">
        <x:v>GITHUB</x:v>
      </x:c>
      <x:c r="F13" s="22" t="str">
        <x:v>TAP-048; TAP-057</x:v>
      </x:c>
      <x:c r="G13" s="22" t="str">
        <x:v>DIRTY_WORKTREE</x:v>
      </x:c>
      <x:c r="H13" s="22" t="str">
        <x:v>No tocar staged/untracked ajenos; GitHub por rama</x:v>
      </x:c>
      <x:c r="I13" s="22" t="str">
        <x:v>Aislar build/clone limpio y push fast-forward</x:v>
      </x:c>
      <x:c r="J13" s="22" t="str">
        <x:v>ABIERTO</x:v>
      </x:c>
    </x:row>
    <x:row r="14" ht="31" customHeight="1">
      <x:c r="A14" s="22" t="str">
        <x:v>BL-09</x:v>
      </x:c>
      <x:c r="B14" s="22" t="str">
        <x:v>P0</x:v>
      </x:c>
      <x:c r="C14" s="22" t="str">
        <x:v>Media</x:v>
      </x:c>
      <x:c r="D14" s="22" t="str">
        <x:v>Política fin de semana no permite 7/7</x:v>
      </x:c>
      <x:c r="E14" s="22" t="str">
        <x:v>RISK</x:v>
      </x:c>
      <x:c r="F14" s="22" t="str">
        <x:v>TAP-042</x:v>
      </x:c>
      <x:c r="G14" s="22" t="str">
        <x:v>WEEKEND_TRADING_FALSE</x:v>
      </x:c>
      <x:c r="H14" s="22" t="str">
        <x:v>Objetivo ACTIVE 3 fills diarios 7/7 no equivale permiso</x:v>
      </x:c>
      <x:c r="I14" s="22" t="str">
        <x:v>Revisar riesgos y obtener aprobación explícita antes de cambiar</x:v>
      </x:c>
      <x:c r="J14" s="22" t="str">
        <x:v>BLOQUEADO</x:v>
      </x:c>
    </x:row>
    <x:row r="15" ht="31" customHeight="1">
      <x:c r="A15" s="22" t="str">
        <x:v>BL-10</x:v>
      </x:c>
      <x:c r="B15" s="22" t="str">
        <x:v>P1</x:v>
      </x:c>
      <x:c r="C15" s="22" t="str">
        <x:v>Media</x:v>
      </x:c>
      <x:c r="D15" s="22" t="str">
        <x:v>5/7 evidencias REA no verificadas por bytes</x:v>
      </x:c>
      <x:c r="E15" s="22" t="str">
        <x:v>REA</x:v>
      </x:c>
      <x:c r="F15" s="22" t="str">
        <x:v>TAP-011</x:v>
      </x:c>
      <x:c r="G15" s="22" t="str">
        <x:v>PARTIAL_RAW_PROVENANCE</x:v>
      </x:c>
      <x:c r="H15" s="22" t="str">
        <x:v>7 IDs no significan siete artefactos comprobados</x:v>
      </x:c>
      <x:c r="I15" s="22" t="str">
        <x:v>Solo ampliar cuando patrón diferencial lo justifique</x:v>
      </x:c>
      <x:c r="J15" s="22" t="str">
        <x:v>ABIERTO</x:v>
      </x:c>
    </x:row>
    <x:row r="16" ht="31" customHeight="1">
      <x:c r="A16" s="22" t="str">
        <x:v>BL-11</x:v>
      </x:c>
      <x:c r="B16" s="22" t="str">
        <x:v>P1</x:v>
      </x:c>
      <x:c r="C16" s="22" t="str">
        <x:v>Media</x:v>
      </x:c>
      <x:c r="D16" s="22" t="str">
        <x:v>BOT-CRI-01 diseño sin REA ni runtime</x:v>
      </x:c>
      <x:c r="E16" s="22" t="str">
        <x:v>AGENTES</x:v>
      </x:c>
      <x:c r="F16" s="22" t="str">
        <x:v>TAP-027;TAP-028</x:v>
      </x:c>
      <x:c r="G16" s="22" t="str">
        <x:v>DESIGN_ONLY</x:v>
      </x:c>
      <x:c r="H16" s="22" t="str">
        <x:v>Repositorio TradingAgents pinned, análisis externo de fuente</x:v>
      </x:c>
      <x:c r="I16" s="22" t="str">
        <x:v>Laboratorio REA + Python stub sin red</x:v>
      </x:c>
      <x:c r="J16" s="22" t="str">
        <x:v>ABIERTO</x:v>
      </x:c>
    </x:row>
    <x:row r="17" ht="31" customHeight="1">
      <x:c r="A17" s="22" t="str">
        <x:v>BL-12</x:v>
      </x:c>
      <x:c r="B17" s="22" t="str">
        <x:v>P0</x:v>
      </x:c>
      <x:c r="C17" s="22" t="str">
        <x:v>Alta</x:v>
      </x:c>
      <x:c r="D17" s="22" t="str">
        <x:v>Ramas EDGE, EVIDENCE y AI no integradas en main</x:v>
      </x:c>
      <x:c r="E17" s="22" t="str">
        <x:v>ARQUITECTURA</x:v>
      </x:c>
      <x:c r="F17" s="22" t="str">
        <x:v>TAP-001;TAP-048</x:v>
      </x:c>
      <x:c r="G17" s="22" t="str">
        <x:v>BRANCH_DIVERGENCE</x:v>
      </x:c>
      <x:c r="H17" s="22" t="str">
        <x:v>main atrasado a 2026-09-22; ramas en octubre</x:v>
      </x:c>
      <x:c r="I17" s="22" t="str">
        <x:v>Integración guiada solo tras tests/reachability</x:v>
      </x:c>
      <x:c r="J17" s="22" t="str">
        <x:v>ABIERTO</x:v>
      </x:c>
    </x:row>
    <x:row r="18" ht="31" customHeight="1">
      <x:c r="A18" s="22" t="str">
        <x:v>BL-13</x:v>
      </x:c>
      <x:c r="B18" s="22" t="str">
        <x:v>P1</x:v>
      </x:c>
      <x:c r="C18" s="22" t="str">
        <x:v>Media</x:v>
      </x:c>
      <x:c r="D18" s="22" t="str">
        <x:v>Ablation del crítico/visual sin señal IA real</x:v>
      </x:c>
      <x:c r="E18" s="22" t="str">
        <x:v>ECONOMIA</x:v>
      </x:c>
      <x:c r="F18" s="22" t="str">
        <x:v>TAP-026;TAP-031</x:v>
      </x:c>
      <x:c r="G18" s="22" t="str">
        <x:v>MOCK_NO_INFORMATION</x:v>
      </x:c>
      <x:c r="H18" s="22" t="str">
        <x:v>Guion ignora prompt, ambos bots idénticos</x:v>
      </x:c>
      <x:c r="I18" s="22" t="str">
        <x:v>Receipts + experimento matched y muestras</x:v>
      </x:c>
      <x:c r="J18" s="22" t="str">
        <x:v>ABIERTO</x:v>
      </x:c>
    </x:row>
    <x:row r="19">
      <x:c r="A19" t="str">
        <x:v>BL-14</x:v>
      </x:c>
      <x:c r="B19" t="str">
        <x:v>P1</x:v>
      </x:c>
      <x:c r="C19" t="str">
        <x:v>Alta</x:v>
      </x:c>
      <x:c r="D19" t="str">
        <x:v>Freebuff crea consola visible mediante bun.exe → bash.exe</x:v>
      </x:c>
      <x:c r="E19" t="str">
        <x:v>WINDOWS_UX</x:v>
      </x:c>
      <x:c r="F19" t="str">
        <x:v>TAP-061;TAP-062</x:v>
      </x:c>
      <x:c r="G19" t="str">
        <x:v>EXTERNAL_WINDOWS_HIDE_MISSING</x:v>
      </x:c>
      <x:c r="H19" t="str">
        <x:v>fe9b5e2: PE GUI→CONSOLE; 0 HIGH internos; visual NOT_OBSERVABLE</x:v>
      </x:c>
      <x:c r="I19" t="str">
        <x:v>Corrección oficial Freebuff Bun.spawn windowsHide y test visual real</x:v>
      </x:c>
      <x:c r="J19" t="str">
        <x:v>BLOQUEADO_EXTERNO</x:v>
      </x:c>
    </x:row>
    <x:row r="20">
      <x:c r="A20" t="str">
        <x:v>BL-15</x:v>
      </x:c>
      <x:c r="B20" t="str">
        <x:v>P1</x:v>
      </x:c>
      <x:c r="C20" t="str">
        <x:v>Media</x:v>
      </x:c>
      <x:c r="D20" t="str">
        <x:v>Task Scheduler sin acción pythonw/windowless instalada</x:v>
      </x:c>
      <x:c r="E20" t="str">
        <x:v>WINDOWS_AUTOMATION</x:v>
      </x:c>
      <x:c r="F20" t="str">
        <x:v>TAP-063</x:v>
      </x:c>
      <x:c r="G20" t="str">
        <x:v>SCHEDULER_NOT_ACTIVATED</x:v>
      </x:c>
      <x:c r="H20" t="str">
        <x:v>XML testeado; no se modificó la tarea programada del host</x:v>
      </x:c>
      <x:c r="I20" t="str">
        <x:v>Instalar con autorización y verificar ejecución visual y cancelación</x:v>
      </x:c>
      <x:c r="J20" t="str">
        <x:v>PENDIENTE_AUTORIZACION</x:v>
      </x:c>
    </x:row>
    <x:row r="21">
      <x:c r="A21" t="str">
        <x:v>BL-16</x:v>
      </x:c>
      <x:c r="B21" t="str">
        <x:v>P0</x:v>
      </x:c>
      <x:c r="C21" t="str">
        <x:v>Alta</x:v>
      </x:c>
      <x:c r="D21" t="str">
        <x:v>Origen exacto de descargas 1000/500/500 no atribuido al proceso/tarea</x:v>
      </x:c>
      <x:c r="E21" t="str">
        <x:v>MARKET_DATA</x:v>
      </x:c>
      <x:c r="F21" t="str">
        <x:v>TAP-064; TAP-065</x:v>
      </x:c>
      <x:c r="G21" t="str">
        <x:v>FETCH_ORIGIN_NOT_ATTRIBUTED</x:v>
      </x:c>
      <x:c r="H21" t="str">
        <x:v>CCXT log y limits real_market_context coinciden; PID/caller/task aún UNKNOWN</x:v>
      </x:c>
      <x:c r="I21" t="str">
        <x:v>WP-005A inspección solo lectura + correlación req_id→consumer</x:v>
      </x:c>
      <x:c r="J21" t="str">
        <x:v>ABIERTO</x:v>
      </x:c>
    </x:row>
    <x:row r="22">
      <x:c r="A22" t="str">
        <x:v>BL-17</x:v>
      </x:c>
      <x:c r="B22" t="str">
        <x:v>P0</x:v>
      </x:c>
      <x:c r="C22" t="str">
        <x:v>Alta</x:v>
      </x:c>
      <x:c r="D22" t="str">
        <x:v>Datos de market no integrados de forma incremental ni en inferencia LLM real</x:v>
      </x:c>
      <x:c r="E22" t="str">
        <x:v>DATA_TO_AI</x:v>
      </x:c>
      <x:c r="F22" t="str">
        <x:v>TAP-066;TAP-067;TAP-068</x:v>
      </x:c>
      <x:c r="G22" t="str">
        <x:v>NO_PROSPECTIVE_AI_DATA_PIPELINE</x:v>
      </x:c>
      <x:c r="H22" t="str">
        <x:v>Collector WebSocket DISCOVERY; AI-BOTS-003C replay; REAL_MODEL_CALLED=false</x:v>
      </x:c>
      <x:c r="I22" t="str">
        <x:v>WP-005B..005G; autorizaciones proveedor/gasto para real LLM</x:v>
      </x:c>
      <x:c r="J22" t="str">
        <x:v>ABIERTO</x:v>
      </x:c>
    </x:row>
  </x:sheetData>
  <x:mergeCells>
    <x:mergeCell ref="A1:J2"/>
    <x:mergeCell ref="A3:J3"/>
  </x:mergeCells>
  <x:conditionalFormatting sqref="J6:J18">
    <x:cfRule type="expression" dxfId="27" priority="1">
      <x:formula>J6="BLOQUEADO"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094e64e5cd4427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91" hidden="0" customWidth="1"/>
  </x:cols>
  <x:sheetData>
    <x:row r="1" ht="26" customHeight="1">
      <x:c r="A1" s="4" t="str">
        <x:v>DEPENDENCIAS Y PUERTAS DE FASE</x:v>
      </x:c>
      <x:c r="B1" s="4"/>
      <x:c r="C1" s="4"/>
      <x:c r="D1" s="4"/>
    </x:row>
    <x:row r="2" ht="26" customHeight="1">
      <x:c r="A2" s="4"/>
      <x:c r="B2" s="4"/>
      <x:c r="C2" s="4"/>
      <x:c r="D2" s="4"/>
    </x:row>
    <x:row r="3" ht="24" customHeight="1">
      <x:c r="A3" s="10" t="str">
        <x:v>Sin aprobar un gate no se promociona un deliverable posterior.</x:v>
      </x:c>
      <x:c r="B3" s="10"/>
      <x:c r="C3" s="10"/>
      <x:c r="D3" s="10"/>
    </x:row>
    <x:row r="4" ht="9" customHeight="1"/>
    <x:row r="5" ht="34" customHeight="1">
      <x:c r="A5" s="16" t="str">
        <x:v>Item dependiente</x:v>
      </x:c>
      <x:c r="B5" s="16" t="str">
        <x:v>Requisito</x:v>
      </x:c>
      <x:c r="C5" s="16" t="str">
        <x:v>Tipo</x:v>
      </x:c>
      <x:c r="D5" s="16" t="str">
        <x:v>Por qué bloquea / impide falso éxito</x:v>
      </x:c>
    </x:row>
    <x:row r="6" ht="31" customHeight="1">
      <x:c r="A6" s="22" t="str">
        <x:v>TAP-023</x:v>
      </x:c>
      <x:c r="B6" s="22" t="str">
        <x:v>TAP-020</x:v>
      </x:c>
      <x:c r="C6" s="22" t="str">
        <x:v>Obligatoria</x:v>
      </x:c>
      <x:c r="D6" s="22" t="str">
        <x:v>Bloque D requiere reloj, precio y riesgo validados</x:v>
      </x:c>
    </x:row>
    <x:row r="7" ht="31" customHeight="1">
      <x:c r="A7" s="22" t="str">
        <x:v>TAP-024</x:v>
      </x:c>
      <x:c r="B7" s="22" t="str">
        <x:v>TAP-021</x:v>
      </x:c>
      <x:c r="C7" s="22" t="str">
        <x:v>Obligatoria</x:v>
      </x:c>
      <x:c r="D7" s="22" t="str">
        <x:v>Collector debe respetar CoverageProof</x:v>
      </x:c>
    </x:row>
    <x:row r="8" ht="31" customHeight="1">
      <x:c r="A8" s="22" t="str">
        <x:v>TAP-025</x:v>
      </x:c>
      <x:c r="B8" s="22" t="str">
        <x:v>TAP-023</x:v>
      </x:c>
      <x:c r="C8" s="22" t="str">
        <x:v>Obligatoria</x:v>
      </x:c>
      <x:c r="D8" s="22" t="str">
        <x:v>Recibos/costes honestos antes del pago</x:v>
      </x:c>
    </x:row>
    <x:row r="9" ht="31" customHeight="1">
      <x:c r="A9" s="22" t="str">
        <x:v>TAP-025</x:v>
      </x:c>
      <x:c r="B9" s="22" t="str">
        <x:v>TAP-024</x:v>
      </x:c>
      <x:c r="C9" s="22" t="str">
        <x:v>Obligatoria</x:v>
      </x:c>
      <x:c r="D9" s="22" t="str">
        <x:v>Cotizaciones realmente posteriores a respuesta</x:v>
      </x:c>
    </x:row>
    <x:row r="10" ht="31" customHeight="1">
      <x:c r="A10" s="22" t="str">
        <x:v>TAP-026</x:v>
      </x:c>
      <x:c r="B10" s="22" t="str">
        <x:v>TAP-025</x:v>
      </x:c>
      <x:c r="C10" s="22" t="str">
        <x:v>Obligatoria</x:v>
      </x:c>
      <x:c r="D10" s="22" t="str">
        <x:v>LLM real registrado, no mock</x:v>
      </x:c>
    </x:row>
    <x:row r="11" ht="31" customHeight="1">
      <x:c r="A11" s="22" t="str">
        <x:v>TAP-026</x:v>
      </x:c>
      <x:c r="B11" s="22" t="str">
        <x:v>TAP-048</x:v>
      </x:c>
      <x:c r="C11" s="22" t="str">
        <x:v>Calidad</x:v>
      </x:c>
      <x:c r="D11" s="22" t="str">
        <x:v>No declarar CERTIFIED con suite global roja</x:v>
      </x:c>
    </x:row>
    <x:row r="12" ht="31" customHeight="1">
      <x:c r="A12" s="22" t="str">
        <x:v>TAP-027</x:v>
      </x:c>
      <x:c r="B12" s="22" t="str">
        <x:v>TAP-028</x:v>
      </x:c>
      <x:c r="C12" s="22" t="str">
        <x:v>Obligatoria</x:v>
      </x:c>
      <x:c r="D12" s="22" t="str">
        <x:v>REA/Python lab antes de adoptar patrón crítico</x:v>
      </x:c>
    </x:row>
    <x:row r="13" ht="31" customHeight="1">
      <x:c r="A13" s="22" t="str">
        <x:v>TAP-029</x:v>
      </x:c>
      <x:c r="B13" s="22" t="str">
        <x:v>TAP-028</x:v>
      </x:c>
      <x:c r="C13" s="22" t="str">
        <x:v>Obligatoria</x:v>
      </x:c>
      <x:c r="D13" s="22" t="str">
        <x:v>Contrato se basa en comportamiento origen probado</x:v>
      </x:c>
    </x:row>
    <x:row r="14" ht="31" customHeight="1">
      <x:c r="A14" s="22" t="str">
        <x:v>TAP-030</x:v>
      </x:c>
      <x:c r="B14" s="22" t="str">
        <x:v>TAP-029</x:v>
      </x:c>
      <x:c r="C14" s="22" t="str">
        <x:v>Obligatoria</x:v>
      </x:c>
      <x:c r="D14" s="22" t="str">
        <x:v>Critic tipado antes de SHADOW</x:v>
      </x:c>
    </x:row>
    <x:row r="15" ht="31" customHeight="1">
      <x:c r="A15" s="22" t="str">
        <x:v>TAP-031</x:v>
      </x:c>
      <x:c r="B15" s="22" t="str">
        <x:v>TAP-030</x:v>
      </x:c>
      <x:c r="C15" s="22" t="str">
        <x:v>Obligatoria</x:v>
      </x:c>
      <x:c r="D15" s="22" t="str">
        <x:v>Primero shadow parity sin alterar órdenes</x:v>
      </x:c>
    </x:row>
    <x:row r="16" ht="31" customHeight="1">
      <x:c r="A16" s="22" t="str">
        <x:v>TAP-031</x:v>
      </x:c>
      <x:c r="B16" s="22" t="str">
        <x:v>TAP-026</x:v>
      </x:c>
      <x:c r="C16" s="22" t="str">
        <x:v>Obligatoria</x:v>
      </x:c>
      <x:c r="D16" s="22" t="str">
        <x:v>Ablation y provider real antes gated</x:v>
      </x:c>
    </x:row>
    <x:row r="17" ht="31" customHeight="1">
      <x:c r="A17" s="22" t="str">
        <x:v>TAP-035</x:v>
      </x:c>
      <x:c r="B17" s="22" t="str">
        <x:v>TAP-041</x:v>
      </x:c>
      <x:c r="C17" s="22" t="str">
        <x:v>Obligatoria</x:v>
      </x:c>
      <x:c r="D17" s="22" t="str">
        <x:v>Promoción estrategia solo con OOS neto y risk gates</x:v>
      </x:c>
    </x:row>
    <x:row r="18" ht="31" customHeight="1">
      <x:c r="A18" s="22" t="str">
        <x:v>TAP-042</x:v>
      </x:c>
      <x:c r="B18" s="22" t="str">
        <x:v>TAP-035</x:v>
      </x:c>
      <x:c r="C18" s="22" t="str">
        <x:v>Obligatoria</x:v>
      </x:c>
      <x:c r="D18" s="22" t="str">
        <x:v>Meta 3 fills diarios requiere estrategia admitida</x:v>
      </x:c>
    </x:row>
    <x:row r="19" ht="31" customHeight="1">
      <x:c r="A19" s="22" t="str">
        <x:v>TAP-042</x:v>
      </x:c>
      <x:c r="B19" s="22" t="str">
        <x:v>TAP-041</x:v>
      </x:c>
      <x:c r="C19" s="22" t="str">
        <x:v>Obligatoria</x:v>
      </x:c>
      <x:c r="D19" s="22" t="str">
        <x:v>Frecuencia no sustituye edge neto</x:v>
      </x:c>
    </x:row>
    <x:row r="20" ht="31" customHeight="1">
      <x:c r="A20" s="22" t="str">
        <x:v>TAP-049</x:v>
      </x:c>
      <x:c r="B20" s="22" t="str">
        <x:v>TAP-024</x:v>
      </x:c>
      <x:c r="C20" s="22" t="str">
        <x:v>Obligatoria</x:v>
      </x:c>
      <x:c r="D20" s="22" t="str">
        <x:v>Recibir datos observables y registrar latencia</x:v>
      </x:c>
    </x:row>
    <x:row r="21" ht="31" customHeight="1">
      <x:c r="A21" s="22" t="str">
        <x:v>TAP-054</x:v>
      </x:c>
      <x:c r="B21" s="22" t="str">
        <x:v>TAP-049</x:v>
      </x:c>
      <x:c r="C21" s="22" t="str">
        <x:v>Obligatoria</x:v>
      </x:c>
      <x:c r="D21" s="22" t="str">
        <x:v>Reporte diario requiere adquisición continua</x:v>
      </x:c>
    </x:row>
    <x:row r="22" ht="31" customHeight="1">
      <x:c r="A22" s="22" t="str">
        <x:v>TAP-058</x:v>
      </x:c>
      <x:c r="B22" s="22" t="str">
        <x:v>TAP-026</x:v>
      </x:c>
      <x:c r="C22" s="22" t="str">
        <x:v>Obligatoria</x:v>
      </x:c>
      <x:c r="D22" s="22" t="str">
        <x:v>No concluir IA rentable con mock</x:v>
      </x:c>
    </x:row>
    <x:row r="23" ht="31" customHeight="1">
      <x:c r="A23" s="22" t="str">
        <x:v>TAP-048</x:v>
      </x:c>
      <x:c r="B23" s="22" t="str">
        <x:v>TAP-005</x:v>
      </x:c>
      <x:c r="C23" s="22" t="str">
        <x:v>Calidad</x:v>
      </x:c>
      <x:c r="D23" s="22" t="str">
        <x:v>Necesita evidencia consistente antes de CI</x:v>
      </x:c>
    </x:row>
    <x:row r="24" ht="31" customHeight="1">
      <x:c r="A24" s="22" t="str">
        <x:v>TAP-057</x:v>
      </x:c>
      <x:c r="B24" s="22" t="str">
        <x:v>TAP-056</x:v>
      </x:c>
      <x:c r="C24" s="22" t="str">
        <x:v>Obligatoria</x:v>
      </x:c>
      <x:c r="D24" s="22" t="str">
        <x:v>Publicación GitHub del workbook creado</x:v>
      </x:c>
    </x:row>
    <x:row r="25" ht="31" customHeight="1">
      <x:c r="A25" s="22" t="str">
        <x:v>TAP-041</x:v>
      </x:c>
      <x:c r="B25" s="22" t="str">
        <x:v>TAP-036</x:v>
      </x:c>
      <x:c r="C25" s="22" t="str">
        <x:v>Obligatoria</x:v>
      </x:c>
      <x:c r="D25" s="22" t="str">
        <x:v>Baseline pérdidas exige nuevos experimentos</x:v>
      </x:c>
    </x:row>
    <x:row r="26">
      <x:c r="A26" t="str">
        <x:v>TAP-066</x:v>
      </x:c>
      <x:c r="B26" t="str">
        <x:v>TAP-065</x:v>
      </x:c>
      <x:c r="C26" t="str">
        <x:v>Obligatoria</x:v>
      </x:c>
      <x:c r="D26" t="str">
        <x:v>No optimizar sin baseline request/data equivalence</x:v>
      </x:c>
    </x:row>
    <x:row r="27">
      <x:c r="A27" t="str">
        <x:v>TAP-067</x:v>
      </x:c>
      <x:c r="B27" t="str">
        <x:v>TAP-066</x:v>
      </x:c>
      <x:c r="C27" t="str">
        <x:v>Obligatoria</x:v>
      </x:c>
      <x:c r="D27" t="str">
        <x:v>Snapshots PIT requieren deltas válidos y cobertura</x:v>
      </x:c>
    </x:row>
    <x:row r="28">
      <x:c r="A28" t="str">
        <x:v>TAP-068</x:v>
      </x:c>
      <x:c r="B28" t="str">
        <x:v>TAP-067</x:v>
      </x:c>
      <x:c r="C28" t="str">
        <x:v>Obligatoria</x:v>
      </x:c>
      <x:c r="D28" t="str">
        <x:v>IA event-driven solo consume snapshots causales</x:v>
      </x:c>
    </x:row>
    <x:row r="29">
      <x:c r="A29" t="str">
        <x:v>TAP-070</x:v>
      </x:c>
      <x:c r="B29" t="str">
        <x:v>TAP-068</x:v>
      </x:c>
      <x:c r="C29" t="str">
        <x:v>Obligatoria</x:v>
      </x:c>
      <x:c r="D29" t="str">
        <x:v>Verificar triggers, esquema y proveedor offline</x:v>
      </x:c>
    </x:row>
    <x:row r="30">
      <x:c r="A30" t="str">
        <x:v>TAP-071</x:v>
      </x:c>
      <x:c r="B30" t="str">
        <x:v>TAP-070</x:v>
      </x:c>
      <x:c r="C30" t="str">
        <x:v>Operativa con aprobación</x:v>
      </x:c>
      <x:c r="D30" t="str">
        <x:v>Modificar tarea real solo tras verificación y consentimiento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a2e9fe503d854b2c"/>
  </x:tableParts>
</x:worksheet>
</file>

<file path=xl/worksheets/sheet6.xml><?xml version="1.0" encoding="utf-8"?>
<x:worksheet xmlns:x="http://schemas.openxmlformats.org/spreadsheetml/2006/main">
  <x:sheetViews>
    <x:sheetView workbookViewId="0">
      <x:pane xSplit="4" ySplit="5" topLeftCell="E6" activePane="bottomRight" state="frozen"/>
    </x:sheetView>
  </x:sheetViews>
  <x:sheetFormatPr defaultRowHeight="15"/>
  <x:cols>
    <x:col min="1" max="1" width="12" hidden="0" customWidth="1"/>
    <x:col min="2" max="2" width="17" hidden="0" customWidth="1"/>
    <x:col min="3" max="3" width="24" hidden="0" customWidth="1"/>
    <x:col min="4" max="4" width="25" hidden="0" customWidth="1"/>
    <x:col min="5" max="5" width="46" hidden="0" customWidth="1"/>
    <x:col min="6" max="6" width="17" hidden="0" customWidth="1"/>
    <x:col min="7" max="7" width="13" hidden="0" customWidth="1"/>
    <x:col min="8" max="8" width="17" hidden="0" customWidth="1"/>
    <x:col min="9" max="9" width="14" hidden="0" customWidth="1"/>
    <x:col min="10" max="10" width="90" hidden="0" customWidth="1"/>
    <x:col min="11" max="11" width="75" hidden="0" customWidth="1"/>
  </x:cols>
  <x:sheetData>
    <x:row r="1" ht="26" customHeight="1">
      <x:c r="A1" s="4" t="str">
        <x:v>EVIDENCIAS Y RESULTADOS ECONÓMICOS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4" customHeight="1">
      <x:c r="A3" s="10" t="str">
        <x:v>No sumar PnL de escenarios distintos; MOCK ≠ IA real; indicamos failures y no prospectivo.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9" customHeight="1"/>
    <x:row r="5" ht="34" customHeight="1">
      <x:c r="A5" s="16" t="str">
        <x:v>ID</x:v>
      </x:c>
      <x:c r="B5" s="16" t="str">
        <x:v>Fecha</x:v>
      </x:c>
      <x:c r="C5" s="16" t="str">
        <x:v>WP</x:v>
      </x:c>
      <x:c r="D5" s="16" t="str">
        <x:v>Clase</x:v>
      </x:c>
      <x:c r="E5" s="16" t="str">
        <x:v>Nombre / dataset</x:v>
      </x:c>
      <x:c r="F5" s="16" t="str">
        <x:v>Commit</x:v>
      </x:c>
      <x:c r="G5" s="16" t="str">
        <x:v>Nº</x:v>
      </x:c>
      <x:c r="H5" s="16" t="str">
        <x:v>Resultado 2</x:v>
      </x:c>
      <x:c r="I5" s="16" t="str">
        <x:v>Unidad</x:v>
      </x:c>
      <x:c r="J5" s="16" t="str">
        <x:v>Lectura rigurosa</x:v>
      </x:c>
      <x:c r="K5" s="16" t="str">
        <x:v>URL fuente</x:v>
      </x:c>
    </x:row>
    <x:row r="6" ht="31" customHeight="1">
      <x:c r="A6" s="22" t="str">
        <x:v>EV-001</x:v>
      </x:c>
      <x:c r="B6" s="22" t="str">
        <x:v>2026-10-17</x:v>
      </x:c>
      <x:c r="C6" s="22" t="str">
        <x:v>EDGE-017F</x:v>
      </x:c>
      <x:c r="D6" s="22" t="str">
        <x:v>REPLAY_DETERMINISTA</x:v>
      </x:c>
      <x:c r="E6" s="22" t="str">
        <x:v>NET_RISK_REPLAY</x:v>
      </x:c>
      <x:c r="F6" s="22" t="str">
        <x:v>b17644a</x:v>
      </x:c>
      <x:c r="G6" s="30" t="n">
        <x:v>146</x:v>
      </x:c>
      <x:c r="H6" s="30" t="n">
        <x:v>-238.770489</x:v>
      </x:c>
      <x:c r="I6" s="22" t="str">
        <x:v>USDT</x:v>
      </x:c>
      <x:c r="J6" s="22" t="str">
        <x:v>1x, 2.387705% drawdown; no edge</x:v>
      </x:c>
      <x:c r="K6" s="22" t="str">
        <x:v>https://github.com/Extr3sao/bot_crypto/blob/agent/edge-recovery/WP-EDGE-00-baseline/reports/economic-recovery/RFC-EDGE-017/NET_RISK_REPLAY.json</x:v>
      </x:c>
    </x:row>
    <x:row r="7" ht="31" customHeight="1">
      <x:c r="A7" s="22" t="str">
        <x:v>EV-002</x:v>
      </x:c>
      <x:c r="B7" s="22" t="str">
        <x:v>2026-10-17</x:v>
      </x:c>
      <x:c r="C7" s="22" t="str">
        <x:v>EDGE-017F</x:v>
      </x:c>
      <x:c r="D7" s="22" t="str">
        <x:v>REPLAY_DETERMINISTA</x:v>
      </x:c>
      <x:c r="E7" s="22" t="str">
        <x:v>NET_RISK_REPLAY</x:v>
      </x:c>
      <x:c r="F7" s="22" t="str">
        <x:v>b17644a</x:v>
      </x:c>
      <x:c r="G7" s="30" t="n">
        <x:v>146</x:v>
      </x:c>
      <x:c r="H7" s="30" t="n">
        <x:v>-425.692312</x:v>
      </x:c>
      <x:c r="I7" s="22" t="str">
        <x:v>USDT</x:v>
      </x:c>
      <x:c r="J7" s="22" t="str">
        <x:v>2x, drawdown 4.256923%</x:v>
      </x:c>
      <x:c r="K7" s="22" t="str">
        <x:v>https://github.com/Extr3sao/bot_crypto/blob/agent/edge-recovery/WP-EDGE-00-baseline/reports/economic-recovery/RFC-EDGE-017/NET_RISK_REPLAY.json</x:v>
      </x:c>
    </x:row>
    <x:row r="8" ht="31" customHeight="1">
      <x:c r="A8" s="22" t="str">
        <x:v>EV-003</x:v>
      </x:c>
      <x:c r="B8" s="22" t="str">
        <x:v>2026-10-17</x:v>
      </x:c>
      <x:c r="C8" s="22" t="str">
        <x:v>EDGE-017F</x:v>
      </x:c>
      <x:c r="D8" s="22" t="str">
        <x:v>REPLAY_DETERMINISTA</x:v>
      </x:c>
      <x:c r="E8" s="22" t="str">
        <x:v>NET_RISK_REPLAY</x:v>
      </x:c>
      <x:c r="F8" s="22" t="str">
        <x:v>b17644a</x:v>
      </x:c>
      <x:c r="G8" s="30" t="n">
        <x:v>121</x:v>
      </x:c>
      <x:c r="H8" s="30" t="n">
        <x:v>-500.571772</x:v>
      </x:c>
      <x:c r="I8" s="22" t="str">
        <x:v>USDT</x:v>
      </x:c>
      <x:c r="J8" s="22" t="str">
        <x:v>3x, drawdown 5.005718%</x:v>
      </x:c>
      <x:c r="K8" s="22" t="str">
        <x:v>https://github.com/Extr3sao/bot_crypto/blob/agent/edge-recovery/WP-EDGE-00-baseline/reports/economic-recovery/RFC-EDGE-017/NET_RISK_REPLAY.json</x:v>
      </x:c>
    </x:row>
    <x:row r="9" ht="31" customHeight="1">
      <x:c r="A9" s="22" t="str">
        <x:v>EV-004</x:v>
      </x:c>
      <x:c r="B9" s="22" t="str">
        <x:v>2026-10-17</x:v>
      </x:c>
      <x:c r="C9" s="22" t="str">
        <x:v>EDGE-017F</x:v>
      </x:c>
      <x:c r="D9" s="22" t="str">
        <x:v>TESTS</x:v>
      </x:c>
      <x:c r="E9" s="22" t="str">
        <x:v>Full pytest tests/unit</x:v>
      </x:c>
      <x:c r="F9" s="22" t="str">
        <x:v>64da0cd</x:v>
      </x:c>
      <x:c r="G9" s="30" t="n">
        <x:v>4070</x:v>
      </x:c>
      <x:c r="H9" s="30" t="n">
        <x:v>14</x:v>
      </x:c>
      <x:c r="I9" s="22" t="str">
        <x:v>tests</x:v>
      </x:c>
      <x:c r="J9" s="22" t="str">
        <x:v>4070 passed + 14 failed, exit 1: NO PASS global</x:v>
      </x:c>
      <x:c r="K9" s="22" t="str">
        <x:v>https://github.com/Extr3sao/bot_crypto/blob/agent/edge-recovery/WP-EDGE-00-baseline/reports/economic-recovery/RFC-EDGE-017/FINAL_REPORT.md</x:v>
      </x:c>
    </x:row>
    <x:row r="10" ht="31" customHeight="1">
      <x:c r="A10" s="22" t="str">
        <x:v>EV-005</x:v>
      </x:c>
      <x:c r="B10" s="22" t="str">
        <x:v>2026-10-17</x:v>
      </x:c>
      <x:c r="C10" s="22" t="str">
        <x:v>EDGE-017F</x:v>
      </x:c>
      <x:c r="D10" s="22" t="str">
        <x:v>CAPTURA_PROSPECTIVA_MANUAL</x:v>
      </x:c>
      <x:c r="E10" s="22" t="str">
        <x:v>OHLCV BTC/ETH/SOL</x:v>
      </x:c>
      <x:c r="F10" s="22" t="str">
        <x:v>b17644a</x:v>
      </x:c>
      <x:c r="G10" s="30" t="n">
        <x:v>24</x:v>
      </x:c>
      <x:c r="H10" s="30" t="n">
        <x:v>6</x:v>
      </x:c>
      <x:c r="I10" s="22" t="str">
        <x:v>bars</x:v>
      </x:c>
      <x:c r="J10" s="22" t="str">
        <x:v>24 observadas, 6 al cierre y 18 recuperadas; 0 trades</x:v>
      </x:c>
      <x:c r="K10" s="22" t="str">
        <x:v>https://github.com/Extr3sao/bot_crypto/blob/agent/edge-recovery/WP-EDGE-00-baseline/reports/economic-recovery/RFC-EDGE-017/FINAL_REPORT.md</x:v>
      </x:c>
    </x:row>
    <x:row r="11" ht="31" customHeight="1">
      <x:c r="A11" s="22" t="str">
        <x:v>EV-006</x:v>
      </x:c>
      <x:c r="B11" s="22" t="str">
        <x:v>2026-10-18</x:v>
      </x:c>
      <x:c r="C11" s="22" t="str">
        <x:v>EVIDENCE-004F</x:v>
      </x:c>
      <x:c r="D11" s="22" t="str">
        <x:v>VERIFY_FOCAL</x:v>
      </x:c>
      <x:c r="E11" s="22" t="str">
        <x:v>Evidence canonical</x:v>
      </x:c>
      <x:c r="F11" s="22" t="str">
        <x:v>b7e100a</x:v>
      </x:c>
      <x:c r="G11" s="30" t="n">
        <x:v>42</x:v>
      </x:c>
      <x:c r="H11" s="30" t="n">
        <x:v>18</x:v>
      </x:c>
      <x:c r="I11" s="22" t="str">
        <x:v>checks/mutations</x:v>
      </x:c>
      <x:c r="J11" s="22" t="str">
        <x:v>42/42 checks y 18/18 mutaciones, no global</x:v>
      </x:c>
      <x:c r="K11" s="22" t="str">
        <x:v>https://github.com/Extr3sao/bot_crypto/blob/agent/evidence/RFC-TAP-EVIDENCE-004/reports/ai-bots/RFC-AI-BOTS-002/evidence-004/VERIFICATION.json</x:v>
      </x:c>
    </x:row>
    <x:row r="12" ht="31" customHeight="1">
      <x:c r="A12" s="22" t="str">
        <x:v>EV-007</x:v>
      </x:c>
      <x:c r="B12" s="22" t="str">
        <x:v>2026-10-18</x:v>
      </x:c>
      <x:c r="C12" s="22" t="str">
        <x:v>REA-002</x:v>
      </x:c>
      <x:c r="D12" s="22" t="str">
        <x:v>REA_STRUCTURAL</x:v>
      </x:c>
      <x:c r="E12" s="22" t="str">
        <x:v>Repositorio nof1 / Fenix / Semantic</x:v>
      </x:c>
      <x:c r="F12" s="22" t="str">
        <x:v>c4e6e3b</x:v>
      </x:c>
      <x:c r="G12" s="30" t="n">
        <x:v>7</x:v>
      </x:c>
      <x:c r="H12" s="30" t="n">
        <x:v>2</x:v>
      </x:c>
      <x:c r="I12" s="22" t="str">
        <x:v>ops</x:v>
      </x:c>
      <x:c r="J12" s="22" t="str">
        <x:v>7 con evidence_id, 2 no ejecutadas; 2/7 ficheros hash verificados</x:v>
      </x:c>
      <x:c r="K12" s="22" t="str">
        <x:v>https://github.com/Extr3sao/bot_crypto/tree/agent/ai-vision/RFC-AI-VISION-001/reports/ai-bots/RFC-AI-BOTS-002/rea</x:v>
      </x:c>
    </x:row>
    <x:row r="13" ht="31" customHeight="1">
      <x:c r="A13" s="22" t="str">
        <x:v>EV-008</x:v>
      </x:c>
      <x:c r="B13" s="22" t="str">
        <x:v>2026-10-18</x:v>
      </x:c>
      <x:c r="C13" s="22" t="str">
        <x:v>AI-BOTS-003B</x:v>
      </x:c>
      <x:c r="D13" s="22" t="str">
        <x:v>REPLAY_MOCK</x:v>
      </x:c>
      <x:c r="E13" s="22" t="str">
        <x:v>VIS / CTX</x:v>
      </x:c>
      <x:c r="F13" s="22" t="str">
        <x:v>ffbc0ca</x:v>
      </x:c>
      <x:c r="G13" s="30" t="n">
        <x:v>14</x:v>
      </x:c>
      <x:c r="H13" s="30" t="n">
        <x:v>-15.680073</x:v>
      </x:c>
      <x:c r="I13" s="22" t="str">
        <x:v>USDT</x:v>
      </x:c>
      <x:c r="J13" s="22" t="str">
        <x:v>Por bot; 40 mock LLM calls; economía idéntica por script</x:v>
      </x:c>
      <x:c r="K13" s="22" t="str">
        <x:v>https://github.com/Extr3sao/bot_crypto/blob/agent/ai-bots/RFC-TAP-AI-BOTS-003/reports/ai-bots/RFC-AI-BOTS-003/BLOCK-B/RUN_REPORT.json</x:v>
      </x:c>
    </x:row>
    <x:row r="14" ht="31" customHeight="1">
      <x:c r="A14" s="22" t="str">
        <x:v>EV-009</x:v>
      </x:c>
      <x:c r="B14" s="22" t="str">
        <x:v>2026-10-18</x:v>
      </x:c>
      <x:c r="C14" s="22" t="str">
        <x:v>AI-BOTS-003C</x:v>
      </x:c>
      <x:c r="D14" s="22" t="str">
        <x:v>REPLAY_MOCK</x:v>
      </x:c>
      <x:c r="E14" s="22" t="str">
        <x:v>Real_0ms (datos Binance 1h replay)</x:v>
      </x:c>
      <x:c r="F14" s="22" t="str">
        <x:v>86d4f12</x:v>
      </x:c>
      <x:c r="G14" s="30" t="n">
        <x:v>34</x:v>
      </x:c>
      <x:c r="H14" s="30" t="n">
        <x:v>-85.426764</x:v>
      </x:c>
      <x:c r="I14" s="22" t="str">
        <x:v>USDT</x:v>
      </x:c>
      <x:c r="J14" s="22" t="str">
        <x:v>34 trades paper offline; no modelo real</x:v>
      </x:c>
      <x:c r="K14" s="22" t="str">
        <x:v>https://github.com/Extr3sao/bot_crypto/blob/agent/ai-bots/RFC-TAP-AI-BOTS-003/reports/ai-bots/RFC-AI-BOTS-003/BLOCK-C/WP_RUN_REPORT.json</x:v>
      </x:c>
    </x:row>
    <x:row r="15" ht="31" customHeight="1">
      <x:c r="A15" s="22" t="str">
        <x:v>EV-010</x:v>
      </x:c>
      <x:c r="B15" s="22" t="str">
        <x:v>2026-10-18</x:v>
      </x:c>
      <x:c r="C15" s="22" t="str">
        <x:v>AI-BOTS-003C</x:v>
      </x:c>
      <x:c r="D15" s="22" t="str">
        <x:v>REPLAY_MOCK</x:v>
      </x:c>
      <x:c r="E15" s="22" t="str">
        <x:v>Real_900ms (datos Binance 1h replay)</x:v>
      </x:c>
      <x:c r="F15" s="22" t="str">
        <x:v>86d4f12</x:v>
      </x:c>
      <x:c r="G15" s="30" t="n">
        <x:v>34</x:v>
      </x:c>
      <x:c r="H15" s="30" t="n">
        <x:v>-97.926767</x:v>
      </x:c>
      <x:c r="I15" s="22" t="str">
        <x:v>USDT</x:v>
      </x:c>
      <x:c r="J15" s="22" t="str">
        <x:v>900ms declarados, no medidos de red</x:v>
      </x:c>
      <x:c r="K15" s="22" t="str">
        <x:v>https://github.com/Extr3sao/bot_crypto/blob/agent/ai-bots/RFC-TAP-AI-BOTS-003/reports/ai-bots/RFC-AI-BOTS-003/BLOCK-C/WP_RUN_REPORT.json</x:v>
      </x:c>
    </x:row>
    <x:row r="16" ht="31" customHeight="1">
      <x:c r="A16" s="22" t="str">
        <x:v>EV-011</x:v>
      </x:c>
      <x:c r="B16" s="22" t="str">
        <x:v>2026-10-18</x:v>
      </x:c>
      <x:c r="C16" s="22" t="str">
        <x:v>AI-BOTS-003C</x:v>
      </x:c>
      <x:c r="D16" s="22" t="str">
        <x:v>REPLAY_MOCK</x:v>
      </x:c>
      <x:c r="E16" s="22" t="str">
        <x:v>Real_900ms+hole</x:v>
      </x:c>
      <x:c r="F16" s="22" t="str">
        <x:v>86d4f12</x:v>
      </x:c>
      <x:c r="G16" s="30" t="n">
        <x:v>34</x:v>
      </x:c>
      <x:c r="H16" s="30" t="n">
        <x:v>-85.449238</x:v>
      </x:c>
      <x:c r="I16" s="22" t="str">
        <x:v>USDT</x:v>
      </x:c>
      <x:c r="J16" s="22" t="str">
        <x:v>2 huecos DATA_GAP; no comparación directa</x:v>
      </x:c>
      <x:c r="K16" s="22" t="str">
        <x:v>https://github.com/Extr3sao/bot_crypto/blob/agent/ai-bots/RFC-TAP-AI-BOTS-003/reports/ai-bots/RFC-AI-BOTS-003/BLOCK-C/WP_RUN_REPORT.json</x:v>
      </x:c>
    </x:row>
    <x:row r="17" ht="31" customHeight="1">
      <x:c r="A17" s="22" t="str">
        <x:v>EV-012</x:v>
      </x:c>
      <x:c r="B17" s="22" t="str">
        <x:v>2026-10-18</x:v>
      </x:c>
      <x:c r="C17" s="22" t="str">
        <x:v>AI-BOTS-003C</x:v>
      </x:c>
      <x:c r="D17" s="22" t="str">
        <x:v>REPLAY_MOCK</x:v>
      </x:c>
      <x:c r="E17" s="22" t="str">
        <x:v>Real_900ms wide_stop</x:v>
      </x:c>
      <x:c r="F17" s="22" t="str">
        <x:v>86d4f12</x:v>
      </x:c>
      <x:c r="G17" s="30" t="n">
        <x:v>34</x:v>
      </x:c>
      <x:c r="H17" s="30" t="n">
        <x:v>-34.247921</x:v>
      </x:c>
      <x:c r="I17" s="22" t="str">
        <x:v>USDT</x:v>
      </x:c>
      <x:c r="J17" s="22" t="str">
        <x:v>Override policy SOLO escenario offline; sin cambiar config</x:v>
      </x:c>
      <x:c r="K17" s="22" t="str">
        <x:v>https://github.com/Extr3sao/bot_crypto/blob/agent/ai-bots/RFC-TAP-AI-BOTS-003/reports/ai-bots/RFC-AI-BOTS-003/BLOCK-C/WP_RUN_REPORT.json</x:v>
      </x:c>
    </x:row>
    <x:row r="18" ht="31" customHeight="1">
      <x:c r="A18" s="22" t="str">
        <x:v>EV-013</x:v>
      </x:c>
      <x:c r="B18" s="22" t="str">
        <x:v>2026-10-18</x:v>
      </x:c>
      <x:c r="C18" s="22" t="str">
        <x:v>AI-BOTS-003C</x:v>
      </x:c>
      <x:c r="D18" s="22" t="str">
        <x:v>REPLAY_SINTETICO</x:v>
      </x:c>
      <x:c r="E18" s="22" t="str">
        <x:v>Gap open con veto por daily loss</x:v>
      </x:c>
      <x:c r="F18" s="22" t="str">
        <x:v>86d4f12</x:v>
      </x:c>
      <x:c r="G18" s="30" t="n">
        <x:v>1</x:v>
      </x:c>
      <x:c r="H18" s="30" t="n">
        <x:v>-16.232058</x:v>
      </x:c>
      <x:c r="I18" s="22" t="str">
        <x:v>USDT</x:v>
      </x:c>
      <x:c r="J18" s="22" t="str">
        <x:v>Gaps sintéticos, 1 salida por stop, NO mercado observado</x:v>
      </x:c>
      <x:c r="K18" s="22" t="str">
        <x:v>https://github.com/Extr3sao/bot_crypto/blob/agent/ai-bots/RFC-TAP-AI-BOTS-003/reports/ai-bots/RFC-AI-BOTS-003/BLOCK-C/FINAL_REPORT.md</x:v>
      </x:c>
    </x:row>
    <x:row r="19" ht="31" customHeight="1">
      <x:c r="A19" s="22" t="str">
        <x:v>EV-014</x:v>
      </x:c>
      <x:c r="B19" s="22" t="str">
        <x:v>2026-10-18</x:v>
      </x:c>
      <x:c r="C19" s="22" t="str">
        <x:v>AI-BOTS-003C</x:v>
      </x:c>
      <x:c r="D19" s="22" t="str">
        <x:v>VERIFY_FOCAL</x:v>
      </x:c>
      <x:c r="E19" s="22" t="str">
        <x:v>Suites visión/paper/risk/intelligence/reports</x:v>
      </x:c>
      <x:c r="F19" s="22" t="str">
        <x:v>86d4f12</x:v>
      </x:c>
      <x:c r="G19" s="30" t="n">
        <x:v>459</x:v>
      </x:c>
      <x:c r="H19" s="30" t="n">
        <x:v>0</x:v>
      </x:c>
      <x:c r="I19" s="22" t="str">
        <x:v>tests failed</x:v>
      </x:c>
      <x:c r="J19" s="22" t="str">
        <x:v>459 pass según report; 120/120 checks y 53/53 mutaciones aplicadas</x:v>
      </x:c>
      <x:c r="K19" s="22" t="str">
        <x:v>https://github.com/Extr3sao/bot_crypto/blob/agent/ai-bots/RFC-TAP-AI-BOTS-003/reports/ai-bots/RFC-AI-BOTS-003/BLOCK-C/FINAL_REPORT.md</x:v>
      </x:c>
    </x:row>
    <x:row r="20" ht="31" customHeight="1">
      <x:c r="A20" s="22" t="str">
        <x:v>EV-015</x:v>
      </x:c>
      <x:c r="B20" s="22" t="str">
        <x:v>2026-10-18</x:v>
      </x:c>
      <x:c r="C20" s="22" t="str">
        <x:v>AI-BOTS-004</x:v>
      </x:c>
      <x:c r="D20" s="22" t="str">
        <x:v>DISEÑO_ONLY</x:v>
      </x:c>
      <x:c r="E20" s="22" t="str">
        <x:v>TradingAgents upstream commit e8f5503</x:v>
      </x:c>
      <x:c r="F20" s="22" t="str">
        <x:v>e8f5503</x:v>
      </x:c>
      <x:c r="G20" s="30" t="n">
        <x:v>0</x:v>
      </x:c>
      <x:c r="H20" s="30" t="n">
        <x:v>0</x:v>
      </x:c>
      <x:c r="I20" s="22" t="str">
        <x:v>ops REA</x:v>
      </x:c>
      <x:c r="J20" s="22" t="str">
        <x:v>Fuente Apache-2.0 revisada; REA en upstream no ejecutado</x:v>
      </x:c>
      <x:c r="K20" s="22" t="str">
        <x:v>https://github.com/Extr3sao/bot_crypto/issues/14</x:v>
      </x:c>
    </x:row>
    <x:row r="21">
      <x:c r="A21" t="str">
        <x:v>EV-016</x:v>
      </x:c>
      <x:c r="B21" t="str">
        <x:v>2026-10-18</x:v>
      </x:c>
      <x:c r="C21" t="str">
        <x:v>AI-BOTS-003C</x:v>
      </x:c>
      <x:c r="D21" t="str">
        <x:v>SOURCE_RUNTIME_PIN</x:v>
      </x:c>
      <x:c r="E21" t="str">
        <x:v>series_sha256 + --bars=1000 regeneración</x:v>
      </x:c>
      <x:c r="F21" t="str">
        <x:v>0841d37</x:v>
      </x:c>
      <x:c r="G21" t="n">
        <x:v>5</x:v>
      </x:c>
      <x:c r="H21" t="n">
        <x:v>120</x:v>
      </x:c>
      <x:c r="I21" t="str">
        <x:v>checks</x:v>
      </x:c>
      <x:c r="J21" t="str">
        <x:v>5 capturas con series_sha256; 24 comprobaciones por escenario, 53 mutaciones detectadas (12 no aplicadas); sin IA real.</x:v>
      </x:c>
      <x:c r="K21" t="str">
        <x:v>https://github.com/Extr3sao/bot_crypto/blob/agent/ai-bots/RFC-TAP-AI-BOTS-003/reports/ai-bots/RFC-AI-BOTS-003/BLOCK-C/FINAL_REPORT.md</x:v>
      </x:c>
    </x:row>
    <x:row r="22">
      <x:c r="A22" t="str">
        <x:v>EV-017</x:v>
      </x:c>
      <x:c r="B22" t="str">
        <x:v>2026-10-18</x:v>
      </x:c>
      <x:c r="C22" t="str">
        <x:v>WP-OPS-BACKGROUND-001</x:v>
      </x:c>
      <x:c r="D22" t="str">
        <x:v>WINDOWS_RUNTIME_FOCAL</x:v>
      </x:c>
      <x:c r="E22" t="str">
        <x:v>PE origin, pruebas Windows y captura offline vía windowless</x:v>
      </x:c>
      <x:c r="F22" t="str">
        <x:v>fe9b5e2</x:v>
      </x:c>
      <x:c r="G22" t="n">
        <x:v>335</x:v>
      </x:c>
      <x:c r="H22" t="n">
        <x:v>0</x:v>
      </x:c>
      <x:c r="I22" t="str">
        <x:v>tests failed</x:v>
      </x:c>
      <x:c r="J22" t="str">
        <x:v>13 ops nuevos; 0 HIGH/324 MEDIUM; 9→2 adjuntos consola; visual NOT_OBSERVABLE; scheduler no registrado</x:v>
      </x:c>
      <x:c r="K22" t="str">
        <x:v>https://github.com/Extr3sao/bot_crypto/blob/agent/ai-bots/RFC-TAP-AI-BOTS-003/reports/ops/WP-OPS-BACKGROUND-001/RUN_REPORT.json</x:v>
      </x:c>
    </x:row>
    <x:row r="23">
      <x:c r="A23" t="str">
        <x:v>EV-018</x:v>
      </x:c>
      <x:c r="B23" t="str">
        <x:v>2026-10-18</x:v>
      </x:c>
      <x:c r="C23" t="str">
        <x:v>RFC-TAP-MARKET-005</x:v>
      </x:c>
      <x:c r="D23" t="str">
        <x:v>SOURCE_CORRELATION_ONLY</x:v>
      </x:c>
      <x:c r="E23" t="str">
        <x:v>Screenshot CCXT fetch_ohlcv + patrón 1000/500/500</x:v>
      </x:c>
      <x:c r="F23" t="str">
        <x:v>fe9b5e2</x:v>
      </x:c>
      <x:c r="G23" t="n">
        <x:v>0</x:v>
      </x:c>
      <x:c r="H23" t="n">
        <x:v>0</x:v>
      </x:c>
      <x:c r="I23" t="str">
        <x:v>WPs executed</x:v>
      </x:c>
      <x:c r="J23" t="str">
        <x:v>Análisis código CCXT y real_market_context; caller PID/task UNKNOWN; no nueva descarga ejecutada por RFC-005</x:v>
      </x:c>
      <x:c r="K23" t="str">
        <x:v>https://github.com/Extr3sao/bot_crypto/issues/16</x:v>
      </x:c>
    </x:row>
  </x:sheetData>
  <x:mergeCells>
    <x:mergeCell ref="A1:K2"/>
    <x:mergeCell ref="A3:K3"/>
  </x:mergeCells>
  <x:conditionalFormatting sqref="H6:H20">
    <x:cfRule type="cellIs" dxfId="2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feb76d452f4282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7" hidden="0" customWidth="1"/>
    <x:col min="3" max="3" width="27" hidden="0" customWidth="1"/>
    <x:col min="4" max="4" width="94" hidden="0" customWidth="1"/>
    <x:col min="5" max="5" width="20" hidden="0" customWidth="1"/>
    <x:col min="6" max="6" width="94" hidden="0" customWidth="1"/>
    <x:col min="7" max="7" width="14" hidden="0" customWidth="1"/>
  </x:cols>
  <x:sheetData>
    <x:row r="1" ht="26" customHeight="1">
      <x:c r="A1" s="4" t="str">
        <x:v>HISTORIAL | cambios controlados</x:v>
      </x:c>
      <x:c r="B1" s="4"/>
      <x:c r="C1" s="4"/>
      <x:c r="D1" s="4"/>
      <x:c r="E1" s="4"/>
      <x:c r="F1" s="4"/>
      <x:c r="G1" s="4"/>
    </x:row>
    <x:row r="2" ht="26" customHeight="1">
      <x:c r="A2" s="4"/>
      <x:c r="B2" s="4"/>
      <x:c r="C2" s="4"/>
      <x:c r="D2" s="4"/>
      <x:c r="E2" s="4"/>
      <x:c r="F2" s="4"/>
      <x:c r="G2" s="4"/>
    </x:row>
    <x:row r="3" ht="24" customHeight="1">
      <x:c r="A3" s="10" t="str">
        <x:v>Cada ejecución o RFC nuevo añade una fila: fecha, ID, estado, claim, evidencia, commit.</x:v>
      </x:c>
      <x:c r="B3" s="10"/>
      <x:c r="C3" s="10"/>
      <x:c r="D3" s="10"/>
      <x:c r="E3" s="10"/>
      <x:c r="F3" s="10"/>
      <x:c r="G3" s="10"/>
    </x:row>
    <x:row r="4" ht="9" customHeight="1"/>
    <x:row r="5" ht="34" customHeight="1">
      <x:c r="A5" s="16" t="str">
        <x:v>Fecha</x:v>
      </x:c>
      <x:c r="B5" s="16" t="str">
        <x:v>ID / línea</x:v>
      </x:c>
      <x:c r="C5" s="16" t="str">
        <x:v>Tipo cambio</x:v>
      </x:c>
      <x:c r="D5" s="16" t="str">
        <x:v>Qué cambió</x:v>
      </x:c>
      <x:c r="E5" s="16" t="str">
        <x:v>Editor</x:v>
      </x:c>
      <x:c r="F5" s="16" t="str">
        <x:v>Evidencia / commit</x:v>
      </x:c>
      <x:c r="G5" s="16" t="str">
        <x:v>Versión</x:v>
      </x:c>
    </x:row>
    <x:row r="6" ht="31" customHeight="1">
      <x:c r="A6" s="22" t="str">
        <x:v>2026-10-18</x:v>
      </x:c>
      <x:c r="B6" s="22" t="str">
        <x:v>ROADMAP-MASTER-001</x:v>
      </x:c>
      <x:c r="C6" s="22" t="str">
        <x:v>INITIAL_CREATED</x:v>
      </x:c>
      <x:c r="D6" s="22" t="str">
        <x:v>Se construye inventario a partir de ramas, reports y RFCs; nada se marca PRODUCTION_READY.</x:v>
      </x:c>
      <x:c r="E6" s="22" t="str">
        <x:v>ChatGPT</x:v>
      </x:c>
      <x:c r="F6" s="22" t="str">
        <x:v>Fuentes: GitHub AI-003C eeb0bea; EDGE b17644a; EVIDENCE b7e100a; issue #14</x:v>
      </x:c>
      <x:c r="G6" s="22" t="str">
        <x:v>v1.0</x:v>
      </x:c>
    </x:row>
    <x:row r="7" ht="31" customHeight="1">
      <x:c r="A7" s="22" t="str">
        <x:v>2026-10-18</x:v>
      </x:c>
      <x:c r="B7" s="22" t="str">
        <x:v>AI-BOTS-003C</x:v>
      </x:c>
      <x:c r="C7" s="22" t="str">
        <x:v>STATE_CORRECTED</x:v>
      </x:c>
      <x:c r="D7" s="22" t="str">
        <x:v>Cambia de EN_CURSO a VERIFICADO_FOCAL tras observar evidencia publicada en GitHub de 459 tests y 120 checks.</x:v>
      </x:c>
      <x:c r="E7" s="22" t="str">
        <x:v>ChatGPT</x:v>
      </x:c>
      <x:c r="F7" s="22" t="str">
        <x:v>reports/ai-bots/RFC-AI-BOTS-003/BLOCK-C/FINAL_REPORT.md</x:v>
      </x:c>
      <x:c r="G7" s="22" t="str">
        <x:v>v1.0</x:v>
      </x:c>
    </x:row>
    <x:row r="8" ht="31" customHeight="1">
      <x:c r="A8" s="22" t="str">
        <x:v>2026-10-18</x:v>
      </x:c>
      <x:c r="B8" s="22" t="str">
        <x:v>AI-BOTS-004</x:v>
      </x:c>
      <x:c r="C8" s="22" t="str">
        <x:v>PLANNED</x:v>
      </x:c>
      <x:c r="D8" s="22" t="str">
        <x:v>Critic REA RFC-004 preparado, pero no existe branch con código; no equiparar diseño con implementación.</x:v>
      </x:c>
      <x:c r="E8" s="22" t="str">
        <x:v>ChatGPT</x:v>
      </x:c>
      <x:c r="F8" s="22" t="str">
        <x:v>https://github.com/Extr3sao/bot_crypto/issues/14</x:v>
      </x:c>
      <x:c r="G8" s="22" t="str">
        <x:v>v1.0</x:v>
      </x:c>
    </x:row>
    <x:row r="9" ht="31" customHeight="1">
      <x:c r="A9" s="22" t="str">
        <x:v>2026-10-18</x:v>
      </x:c>
      <x:c r="B9" s="22" t="str">
        <x:v>EVIDENCE-004F</x:v>
      </x:c>
      <x:c r="C9" s="22" t="str">
        <x:v>TARGETED_CLOSED</x:v>
      </x:c>
      <x:c r="D9" s="22" t="str">
        <x:v>Cierre focal con 42 checks / 18 mutaciones, suite global pendiente.</x:v>
      </x:c>
      <x:c r="E9" s="22" t="str">
        <x:v>ChatGPT</x:v>
      </x:c>
      <x:c r="F9" s="22" t="str">
        <x:v>https://github.com/Extr3sao/bot_crypto/issues/13</x:v>
      </x:c>
      <x:c r="G9" s="22" t="str">
        <x:v>v1.0</x:v>
      </x:c>
    </x:row>
    <x:row r="10">
      <x:c r="A10" t="str">
        <x:v>2026-10-18</x:v>
      </x:c>
      <x:c r="B10" s="40" t="str">
        <x:v>ROADMAP-MASTER-001</x:v>
      </x:c>
      <x:c r="C10" s="40" t="str">
        <x:v>REMOTE_PUBLISHED</x:v>
      </x:c>
      <x:c r="D10" s="40" t="str">
        <x:v>Excel y espejo JSON/CSV subidos a rama project/roadmap-trading-agentic; hash Git XLSX verificado; se prepara revisión 1.1.</x:v>
      </x:c>
      <x:c r="E10" s="40" t="str">
        <x:v>ChatGPT</x:v>
      </x:c>
      <x:c r="F10" s="40" t="str">
        <x:v>https://github.com/Extr3sao/bot_crypto/commit/5f8c7610c052cad019421041cab5b360e7befc4e</x:v>
      </x:c>
      <x:c r="G10" s="40" t="str">
        <x:v>v1.1</x:v>
      </x:c>
    </x:row>
    <x:row r="11">
      <x:c r="A11" t="str">
        <x:v>2026-10-18</x:v>
      </x:c>
      <x:c r="B11" t="str">
        <x:v>AI-BOTS-003C</x:v>
      </x:c>
      <x:c r="C11" t="str">
        <x:v>EVIDENCE_REPINNED</x:v>
      </x:c>
      <x:c r="D11" t="str">
        <x:v>Actualiza autoridad remota a 0841d37; series_sha256 de barras consumidas y captura con 1000 barras; 120 checks y 53 mutaciones re-verificados según informe; NO se rerun 459 tests.</x:v>
      </x:c>
      <x:c r="E11" t="str">
        <x:v>ChatGPT</x:v>
      </x:c>
      <x:c r="F11" t="str">
        <x:v>https://github.com/Extr3sao/bot_crypto/commit/0841d372cdf36e6b52b6d8ed2e02b9d4e8c23a5e</x:v>
      </x:c>
      <x:c r="G11" t="str">
        <x:v>v1.2</x:v>
      </x:c>
    </x:row>
    <x:row r="12">
      <x:c r="A12" t="str">
        <x:v>2026-10-18</x:v>
      </x:c>
      <x:c r="B12" t="str">
        <x:v>TAP-061</x:v>
      </x:c>
      <x:c r="C12" t="str">
        <x:v>USER_REPORTED_DEFECT</x:v>
      </x:c>
      <x:c r="D12" t="str">
        <x:v>Nuevo WP Windows: ningún proceso bash/cmd/PowerShell debe abrir ventana visible; conservar logs, errors y limpieza de hijos sin afectar procesos ajenos.</x:v>
      </x:c>
      <x:c r="E12" t="str">
        <x:v>ChatGPT</x:v>
      </x:c>
      <x:c r="F12" t="str">
        <x:v>Incidencia del usuario en esta conversación; raíz aún no comprobada</x:v>
      </x:c>
      <x:c r="G12" t="str">
        <x:v>v1.2</x:v>
      </x:c>
    </x:row>
    <x:row r="13">
      <x:c r="A13" t="str">
        <x:v>2026-10-18</x:v>
      </x:c>
      <x:c r="B13" t="str">
        <x:v>WP-OPS-BACKGROUND-001</x:v>
      </x:c>
      <x:c r="C13" t="str">
        <x:v>IMPLEMENTED_TARGETED</x:v>
      </x:c>
      <x:c r="D13" t="str">
        <x:v>TAP-061 corregido internamente en fe9b5e2; sin confundir pruebas estructurales con eliminación visual de popups.</x:v>
      </x:c>
      <x:c r="E13" t="str">
        <x:v>ChatGPT</x:v>
      </x:c>
      <x:c r="F13" t="str">
        <x:v>https://github.com/Extr3sao/bot_crypto/commit/fe9b5e2623b0d023833249e9687b753eaacd27d4</x:v>
      </x:c>
      <x:c r="G13" t="str">
        <x:v>v1.3</x:v>
      </x:c>
    </x:row>
    <x:row r="14">
      <x:c r="A14" t="str">
        <x:v>2026-10-18</x:v>
      </x:c>
      <x:c r="B14" t="str">
        <x:v>TAP-062;TAP-063</x:v>
      </x:c>
      <x:c r="C14" t="str">
        <x:v>EXTERNAL_AND_DEPLOYMENT_BLOCKS</x:v>
      </x:c>
      <x:c r="D14" t="str">
        <x:v>Separados el bloqueo externo Freebuff (windowsHide faltante) y tarea programada no activada.</x:v>
      </x:c>
      <x:c r="E14" t="str">
        <x:v>ChatGPT</x:v>
      </x:c>
      <x:c r="F14" t="str">
        <x:v>https://github.com/Extr3sao/bot_crypto/blob/agent/ai-bots/RFC-TAP-AI-BOTS-003/docs/runtime/WINDOWLESS_EXECUTION.md</x:v>
      </x:c>
      <x:c r="G14" t="str">
        <x:v>v1.3</x:v>
      </x:c>
    </x:row>
    <x:row r="15">
      <x:c r="A15" t="str">
        <x:v>2026-10-18</x:v>
      </x:c>
      <x:c r="B15" t="str">
        <x:v>RFC-TAP-MARKET-005</x:v>
      </x:c>
      <x:c r="C15" t="str">
        <x:v>PROPOSED_REGISTERED</x:v>
      </x:c>
      <x:c r="D15" t="str">
        <x:v>Se añaden TAP-064..071, BL-16/17; separar descargas de precios del proveedor IA; ninguna task tocada.</x:v>
      </x:c>
      <x:c r="E15" t="str">
        <x:v>ChatGPT</x:v>
      </x:c>
      <x:c r="F15" t="str">
        <x:v>https://github.com/Extr3sao/bot_crypto/issues/16</x:v>
      </x:c>
      <x:c r="G15" t="str">
        <x:v>v1.4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b25a67fad6964a53"/>
  </x:tableParts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15" hidden="0" customWidth="1"/>
  </x:cols>
  <x:sheetData>
    <x:row r="1" ht="26" customHeight="1">
      <x:c r="A1" s="4" t="str">
        <x:v>CÓMO MANTENER ESTE ROADMAP VIVO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10" t="str">
        <x:v>Excel de seguimiento + JSON canónico versionable en GitHub. No se actualiza por arte de magia entre sesiones.</x:v>
      </x:c>
      <x:c r="B3" s="10"/>
      <x:c r="C3" s="10"/>
      <x:c r="D3" s="10"/>
      <x:c r="E3" s="10"/>
      <x:c r="F3" s="10"/>
      <x:c r="G3" s="10"/>
      <x:c r="H3" s="10"/>
    </x:row>
    <x:row r="4" ht="9" customHeight="1"/>
    <x:row r="6" ht="35" customHeight="1">
      <x:c r="A6" s="35" t="str">
        <x:v>1. Fuente de verdad</x:v>
      </x:c>
      <x:c r="B6" s="22" t="str">
        <x:v>Consultar primero GitHub HEAD/branches y reportes RUN_REPORT.json, FINAL_REPORT.md, EVIDENCE, suite real. No inferir estado por el último prompt.</x:v>
      </x:c>
    </x:row>
    <x:row r="7" ht="35" customHeight="1">
      <x:c r="A7" s="35" t="str">
        <x:v>2. Actualizar un WP</x:v>
      </x:c>
      <x:c r="B7" s="22" t="str">
        <x:v>Buscar ID estable TAP-xxx en ROADMAP; ajustar Estado, avance, última revisión, commit, URL, bloqueo, acción y gate; mantener el mismo ID.</x:v>
      </x:c>
    </x:row>
    <x:row r="8" ht="35" customHeight="1">
      <x:c r="A8" s="35" t="str">
        <x:v>3. Evidencia</x:v>
      </x:c>
      <x:c r="B8" s="22" t="str">
        <x:v>Añadir fila en EVIDENCIAS con cifras (incluidos negativos/FAIL), tipo (MOCK/REAL/PROSPECTIVE), dataset y URI exacta.</x:v>
      </x:c>
    </x:row>
    <x:row r="9" ht="35" customHeight="1">
      <x:c r="A9" s="35" t="str">
        <x:v>4. Recalcular fases</x:v>
      </x:c>
      <x:c r="B9" s="22" t="str">
        <x:v>Revisar FASES y RFC_Y_WP solo tras comprobar la ejecución; no promocionar fases con documentación sin runtime.</x:v>
      </x:c>
    </x:row>
    <x:row r="10" ht="35" customHeight="1">
      <x:c r="A10" s="35" t="str">
        <x:v>5. Mantener historial</x:v>
      </x:c>
      <x:c r="B10" s="22" t="str">
        <x:v>Añadir una fila HISTORIAL por cambio de estado significativo; nunca borrar entradas anteriores.</x:v>
      </x:c>
    </x:row>
    <x:row r="11" ht="35" customHeight="1">
      <x:c r="A11" s="35" t="str">
        <x:v>6. Bloqueos</x:v>
      </x:c>
      <x:c r="B11" s="22" t="str">
        <x:v>Si la dependencia sigue pendiente, mantener BLOQUEADO y enlazar la causa; que CI PASS focal no parezca global.</x:v>
      </x:c>
    </x:row>
    <x:row r="12" ht="35" customHeight="1">
      <x:c r="A12" s="35" t="str">
        <x:v>7. Publicar</x:v>
      </x:c>
      <x:c r="B12" s="22" t="str">
        <x:v>Guardar versión Excel y ROADMAP_MASTER_DATA.json en rama project/roadmap. Pull/merge solo después de comprobar conflictos y SHA; no tocar ramas de Codex.</x:v>
      </x:c>
    </x:row>
    <x:row r="13" ht="35" customHeight="1">
      <x:c r="A13" s="35" t="str">
        <x:v>8. Automatización</x:v>
      </x:c>
      <x:c r="B13" s="22" t="str">
        <x:v>Al pegarme un reporte nuevo o pedir actualizar roadmap, compararé commit remoto, revisaré evidencias y generaré revisión nueva del Excel; sin petición no puedo garantizar updates automáticos.</x:v>
      </x:c>
    </x:row>
    <x:row r="14" ht="35" customHeight="1">
      <x:c r="A14" s="35" t="str">
        <x:v>9. Validación</x:v>
      </x:c>
      <x:c r="B14" s="22" t="str">
        <x:v>NO_CERTIFIED hasta ARCHITECTURE + IMPLEMENTATION + RUNTIME_REACHABLE + EXEC + INDEPENDENT_VERIFIER + EVIDENCE.</x:v>
      </x:c>
    </x:row>
    <x:row r="15" ht="35" customHeight="1">
      <x:c r="A15" s="35" t="str">
        <x:v>10. Estado implementado</x:v>
      </x:c>
      <x:c r="B15" s="22" t="str">
        <x:v>IMPLEMENTADO indica código presente. VERIFICADO_FOCAL implica tests/report específicos, nunca automáticamente RELEASE o PROD.</x:v>
      </x:c>
    </x:row>
    <x:row r="16" ht="35" customHeight="1">
      <x:c r="A16" s="35" t="str">
        <x:v>11. Fechas</x:v>
      </x:c>
      <x:c r="B16" s="22" t="str">
        <x:v>Fecha objetivo en blanco = no comprometida; no estimar fecha de rentabilidad sin datos. Prioridades/orden sí están definidos.</x:v>
      </x:c>
    </x:row>
    <x:row r="17" ht="35" customHeight="1">
      <x:c r="A17" s="35" t="str">
        <x:v>12. Live / riesgos</x:v>
      </x:c>
      <x:c r="B17" s="22" t="str">
        <x:v>No tocar credenciales, riesgo, leverage, capital ni operaciones reales sin aprobación expresa. PAPER/SHADOW permitido.</x:v>
      </x:c>
    </x:row>
    <x:row r="18" ht="35" customHeight="1">
      <x:c r="A18" s="35" t="str">
        <x:v>13. Rentabilidad</x:v>
      </x:c>
      <x:c r="B18" s="22" t="str">
        <x:v>Métricas mínimas: PnL neto, expectancy, Sharpe con muestra, DD, costes, frecuencia diaria, OOS y comparación CASH/baseline.</x:v>
      </x:c>
    </x:row>
    <x:row r="19" ht="35" customHeight="1">
      <x:c r="A19" s="35" t="str">
        <x:v>14. Objetivo ACTIVE</x:v>
      </x:c>
      <x:c r="B19" s="22" t="str">
        <x:v>Objetivo orientativo &gt;=3 fills ejecutados cada día cripto (7d) sin forzar trades, política actual weekend=false; QUALITY separada baja frecuencia.</x:v>
      </x:c>
    </x:row>
    <x:row r="20" ht="35" customHeight="1">
      <x:c r="A20" s="35" t="str">
        <x:v>15. Checkpoint</x:v>
      </x:c>
      <x:c r="B20" s="22" t="str">
        <x:v>Conservar corte: 18/10/2026; AI branch eeb0bea; EVID branch b7e100a; EDGE branch b17644a; main 5e6f963.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6" hidden="0" customWidth="1"/>
    <x:col min="3" max="3" width="69" hidden="0" customWidth="1"/>
    <x:col min="4" max="4" width="26" hidden="0" customWidth="1"/>
    <x:col min="5" max="5" width="43" hidden="0" customWidth="1"/>
    <x:col min="6" max="6" width="19" hidden="0" customWidth="1"/>
    <x:col min="7" max="7" width="4" hidden="0" customWidth="1"/>
    <x:col min="8" max="8" width="25" hidden="0" customWidth="1"/>
    <x:col min="9" max="9" width="18" hidden="0" customWidth="1"/>
    <x:col min="10" max="10" width="4" hidden="0" customWidth="1"/>
    <x:col min="11" max="11" width="24" hidden="0" customWidth="1"/>
    <x:col min="12" max="12" width="14" hidden="0" customWidth="1"/>
    <x:col min="13" max="13" width="15" hidden="0" customWidth="1"/>
    <x:col min="14" max="14" width="15" hidden="0" customWidth="1"/>
    <x:col min="15" max="15" width="13" hidden="0" customWidth="1"/>
    <x:col min="16" max="16" width="13" hidden="0" customWidth="1"/>
  </x:cols>
  <x:sheetData>
    <x:row r="1" ht="26" customHeight="1">
      <x:c r="A1" s="4" t="str">
        <x:v>TRADING AGENTIC PORTABLE  |  ROADMAP EJECUTIVO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4" customHeight="1">
      <x:c r="A3" s="10" t="str">
        <x:v>Corte GitHub: 2026-10-18 · v1.2 · Bloque C 0841d37 · Popups bash P1 · Sin IA real ni rentabilidad demostrada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4" ht="9" customHeight="1"/>
    <x:row r="5" ht="25" customHeight="1">
      <x:c r="B5" s="43" t="str">
        <x:v>ITEMS TOTALES</x:v>
      </x:c>
      <x:c r="C5" s="43"/>
      <x:c r="E5" s="43" t="str">
        <x:v>VERIFICADO FOCAL</x:v>
      </x:c>
      <x:c r="F5" s="43"/>
      <x:c r="H5" s="43" t="str">
        <x:v>PENDIENTE + BLOQUEADO</x:v>
      </x:c>
      <x:c r="I5" s="43"/>
      <x:c r="K5" s="43" t="str">
        <x:v>MODELOS REALES</x:v>
      </x:c>
      <x:c r="L5" s="43"/>
    </x:row>
    <x:row r="6" ht="23" customHeight="1">
      <x:c r="B6" s="48" t="n">
        <x:f>COUNTA(ROADMAP!$A$6:$A$76)</x:f>
        <x:v>71</x:v>
      </x:c>
      <x:c r="C6" s="48"/>
      <x:c r="E6" s="48" t="n">
        <x:f>COUNTIF(ROADMAP!$F$6:$F$76,"VERIFICADO_FOCAL")</x:f>
        <x:v>26</x:v>
      </x:c>
      <x:c r="F6" s="48"/>
      <x:c r="H6" s="48" t="n">
        <x:f>COUNTIF(ROADMAP!$F$6:$F$76,"PENDIENTE")+COUNTIF(ROADMAP!$F$6:$F$76,"BLOQUEADO")</x:f>
        <x:v>23</x:v>
      </x:c>
      <x:c r="I6" s="48"/>
      <x:c r="K6" s="48" t="n">
        <x:f>0</x:f>
        <x:v>0</x:v>
      </x:c>
      <x:c r="L6" s="48"/>
    </x:row>
    <x:row r="7" ht="23" customHeight="1">
      <x:c r="B7" s="48"/>
      <x:c r="C7" s="48"/>
      <x:c r="E7" s="48"/>
      <x:c r="F7" s="48"/>
      <x:c r="H7" s="48"/>
      <x:c r="I7" s="48"/>
      <x:c r="K7" s="48"/>
      <x:c r="L7" s="48"/>
    </x:row>
    <x:row r="10" ht="28" customHeight="1">
      <x:c r="B10" s="52" t="str">
        <x:v>PRÓXIMOS PASOS CRÍTICOS</x:v>
      </x:c>
      <x:c r="C10" s="52"/>
      <x:c r="D10" s="52"/>
      <x:c r="E10" s="52"/>
      <x:c r="F10" s="52"/>
      <x:c r="G10" s="52"/>
      <x:c r="H10" s="52"/>
      <x:c r="I10" s="52"/>
      <x:c r="K10" s="52" t="str">
        <x:v>DISTRIBUCIÓN DE ESTADOS</x:v>
      </x:c>
      <x:c r="L10" s="52"/>
      <x:c r="M10" s="52"/>
      <x:c r="N10" s="52"/>
      <x:c r="O10" s="52"/>
      <x:c r="P10" s="52"/>
    </x:row>
    <x:row r="11" ht="25" customHeight="1">
      <x:c r="B11" s="55" t="str">
        <x:v>P0 · 01</x:v>
      </x:c>
      <x:c r="C11" s="22" t="str">
        <x:v>Identificar proceso/tarea que descarga velas</x:v>
      </x:c>
      <x:c r="D11" s="22" t="str">
        <x:v>TAP-064/065</x:v>
      </x:c>
      <x:c r="E11" s="22" t="str">
        <x:v>Sin atribución no se desactiva nada</x:v>
      </x:c>
      <x:c r="K11" s="62" t="str">
        <x:v>VERIFICADO_FOCAL</x:v>
      </x:c>
      <x:c r="L11" s="60" t="n">
        <x:f>COUNTIF(ROADMAP!$F$6:$F$76,K11)</x:f>
        <x:v>26</x:v>
      </x:c>
    </x:row>
    <x:row r="12" ht="25" customHeight="1">
      <x:c r="B12" s="55" t="str">
        <x:v>P0 · 02</x:v>
      </x:c>
      <x:c r="C12" s="22" t="str">
        <x:v>Datos incrementales y snapshots PIT</x:v>
      </x:c>
      <x:c r="D12" s="22" t="str">
        <x:v>TAP-066/067</x:v>
      </x:c>
      <x:c r="E12" s="22" t="str">
        <x:v>Bootstrapping once; no futuras HTF</x:v>
      </x:c>
      <x:c r="K12" s="64" t="str">
        <x:v>IMPLEMENTADO</x:v>
      </x:c>
      <x:c r="L12" s="60" t="n">
        <x:f>COUNTIF(ROADMAP!$F$6:$F$76,K12)</x:f>
        <x:v>3</x:v>
      </x:c>
    </x:row>
    <x:row r="13" ht="25" customHeight="1">
      <x:c r="B13" s="55" t="str">
        <x:v>P0 · 03</x:v>
      </x:c>
      <x:c r="C13" s="22" t="str">
        <x:v>Proveedor IA offline + receipts</x:v>
      </x:c>
      <x:c r="D13" s="22" t="str">
        <x:v>TAP-023 / 068</x:v>
      </x:c>
      <x:c r="E13" s="22" t="str">
        <x:v>Sin clave/coste → 0 llamadas</x:v>
      </x:c>
      <x:c r="K13" s="66" t="str">
        <x:v>EN_CURSO</x:v>
      </x:c>
      <x:c r="L13" s="60" t="n">
        <x:f>COUNTIF(ROADMAP!$F$6:$F$76,K13)</x:f>
        <x:v>0</x:v>
      </x:c>
    </x:row>
    <x:row r="14" ht="25" customHeight="1">
      <x:c r="B14" s="55" t="str">
        <x:v>P0 · 04</x:v>
      </x:c>
      <x:c r="C14" s="22" t="str">
        <x:v>Feed prospectivo y continuidad</x:v>
      </x:c>
      <x:c r="D14" s="22" t="str">
        <x:v>TAP-024/049</x:v>
      </x:c>
      <x:c r="E14" s="22" t="str">
        <x:v>1m/quotes; datos observables</x:v>
      </x:c>
      <x:c r="K14" s="68" t="str">
        <x:v>PENDIENTE</x:v>
      </x:c>
      <x:c r="L14" s="60" t="n">
        <x:f>COUNTIF(ROADMAP!$F$6:$F$76,K14)</x:f>
        <x:v>12</x:v>
      </x:c>
    </x:row>
    <x:row r="15" ht="25" customHeight="1">
      <x:c r="B15" s="55" t="str">
        <x:v>P0 · 05</x:v>
      </x:c>
      <x:c r="C15" s="22" t="str">
        <x:v>Resolver CI full y gate PAPER</x:v>
      </x:c>
      <x:c r="D15" s="22" t="str">
        <x:v>TAP-048 / 035</x:v>
      </x:c>
      <x:c r="E15" s="22" t="str">
        <x:v>No saltar admisión ni 14 FAIL históricos</x:v>
      </x:c>
      <x:c r="K15" s="70" t="str">
        <x:v>PLANIFICADO</x:v>
      </x:c>
      <x:c r="L15" s="60" t="n">
        <x:f>COUNTIF(ROADMAP!$F$6:$F$76,K15)</x:f>
        <x:v>18</x:v>
      </x:c>
    </x:row>
    <x:row r="16" ht="25" customHeight="1">
      <x:c r="B16" s="55" t="str">
        <x:v>GATE · 06</x:v>
      </x:c>
      <x:c r="C16" s="22" t="str">
        <x:v>1 llamada multimodal real (tras autorización)</x:v>
      </x:c>
      <x:c r="D16" s="22" t="str">
        <x:v>TAP-025</x:v>
      </x:c>
      <x:c r="E16" s="22" t="str">
        <x:v>REAL_MODEL_CALLED=false</x:v>
      </x:c>
      <x:c r="K16" s="72" t="str">
        <x:v>PROPUESTO</x:v>
      </x:c>
      <x:c r="L16" s="60" t="n">
        <x:f>COUNTIF(ROADMAP!$F$6:$F$76,K16)</x:f>
        <x:v>1</x:v>
      </x:c>
    </x:row>
    <x:row r="17" ht="25" customHeight="1">
      <x:c r="B17" s="55" t="str">
        <x:v>GATE · 07</x:v>
      </x:c>
      <x:c r="C17" s="22" t="str">
        <x:v>A/B prospectivo y beneficio neto</x:v>
      </x:c>
      <x:c r="D17" s="22" t="str">
        <x:v>TAP-026 / TAP-058</x:v>
      </x:c>
      <x:c r="E17" s="22" t="str">
        <x:v>No edge probado</x:v>
      </x:c>
      <x:c r="K17" s="74" t="str">
        <x:v>BLOQUEADO</x:v>
      </x:c>
      <x:c r="L17" s="60" t="n">
        <x:f>COUNTIF(ROADMAP!$F$6:$F$76,K17)</x:f>
        <x:v>11</x:v>
      </x:c>
    </x:row>
    <x:row r="18" ht="25" customHeight="1">
      <x:c r="K18" s="76" t="str">
        <x:v>RECHAZADO</x:v>
      </x:c>
      <x:c r="L18" s="60" t="n">
        <x:f>COUNTIF(ROADMAP!$F$6:$F$76,K18)</x:f>
        <x:v>0</x:v>
      </x:c>
    </x:row>
    <x:row r="20" ht="28" customHeight="1">
      <x:c r="B20" s="52" t="str">
        <x:v>ESTADO ECONÓMICO Y GATES</x:v>
      </x:c>
      <x:c r="C20" s="52"/>
      <x:c r="D20" s="52"/>
      <x:c r="E20" s="52"/>
      <x:c r="F20" s="52"/>
      <x:c r="G20" s="52"/>
      <x:c r="H20" s="52"/>
      <x:c r="I20" s="52"/>
    </x:row>
    <x:row r="21" ht="30" customHeight="1">
      <x:c r="B21" s="35" t="str">
        <x:v>EDGE-017F · 1× histórico</x:v>
      </x:c>
      <x:c r="C21" s="22" t="str">
        <x:v>-238,770489 USDT, 146 fills; no edge</x:v>
      </x:c>
    </x:row>
    <x:row r="22" ht="30" customHeight="1">
      <x:c r="B22" s="35" t="str">
        <x:v>BOT-VIS y BOT-CTX · mock 003B</x:v>
      </x:c>
      <x:c r="C22" s="22" t="str">
        <x:v>-15,680073 USDT cada uno; script ignora prompt</x:v>
      </x:c>
    </x:row>
    <x:row r="23" ht="30" customHeight="1">
      <x:c r="B23" s="35" t="str">
        <x:v>AI-003C · 900ms declarados</x:v>
      </x:c>
      <x:c r="C23" s="22" t="str">
        <x:v>-97,926767 USDT, 34 fills replay; no IA real</x:v>
      </x:c>
    </x:row>
    <x:row r="24" ht="30" customHeight="1">
      <x:c r="B24" s="35" t="str">
        <x:v>Modelo multimodal real</x:v>
      </x:c>
      <x:c r="C24" s="22" t="str">
        <x:v>0 llamadas verificadas; credencial + coste pendientes</x:v>
      </x:c>
    </x:row>
    <x:row r="25" ht="30" customHeight="1">
      <x:c r="B25" s="35" t="str">
        <x:v>Paper prospectivo / OOS</x:v>
      </x:c>
      <x:c r="C25" s="22" t="str">
        <x:v>No certificado; no clasificar mock como beneficio</x:v>
      </x:c>
    </x:row>
    <x:row r="26" ht="30" customHeight="1">
      <x:c r="B26" s="35" t="str">
        <x:v>Meta de rentabilidad</x:v>
      </x:c>
      <x:c r="C26" s="22" t="str">
        <x:v>NO DEMOSTRADA; primero edge positivo OOS neto</x:v>
      </x:c>
    </x:row>
    <x:row r="27" ht="30" customHeight="1">
      <x:c r="B27" s="35" t="str">
        <x:v>Operativa 7/7</x:v>
      </x:c>
      <x:c r="C27" s="22" t="str">
        <x:v>Objetivo ACTIVE, pero weekend_trading=false</x:v>
      </x:c>
    </x:row>
    <x:row r="31">
      <x:c r="B31" s="81" t="str">
        <x:v>AUTORIDAD: REAL_RUNTIME &gt; EXECUTION_EVIDENCE &gt; TESTS &gt; SOURCE_CODE &gt; ARCH/RFC &gt; EXTERNAL_SOURCE &gt; ASSUMPTION.  FALSE_SUCCESS=0  |  BUILDER != VERIFIER  |  TEST_TARGET == RUNTIME_TARGET.</x:v>
      </x:c>
      <x:c r="C31" s="81"/>
      <x:c r="D31" s="81"/>
      <x:c r="E31" s="81"/>
      <x:c r="F31" s="81"/>
      <x:c r="G31" s="81"/>
      <x:c r="H31" s="81"/>
      <x:c r="I31" s="81"/>
    </x:row>
    <x:row r="32">
      <x:c r="B32" s="81"/>
      <x:c r="C32" s="81"/>
      <x:c r="D32" s="81"/>
      <x:c r="E32" s="81"/>
      <x:c r="F32" s="81"/>
      <x:c r="G32" s="81"/>
      <x:c r="H32" s="81"/>
      <x:c r="I32" s="81"/>
    </x:row>
    <x:row r="33">
      <x:c r="B33" s="81"/>
      <x:c r="C33" s="81"/>
      <x:c r="D33" s="81"/>
      <x:c r="E33" s="81"/>
      <x:c r="F33" s="81"/>
      <x:c r="G33" s="81"/>
      <x:c r="H33" s="81"/>
      <x:c r="I33" s="81"/>
    </x:row>
  </x:sheetData>
  <x:mergeCells>
    <x:mergeCell ref="A1:P2"/>
    <x:mergeCell ref="A3:P3"/>
    <x:mergeCell ref="B5:C5"/>
    <x:mergeCell ref="B6:C7"/>
    <x:mergeCell ref="E5:F5"/>
    <x:mergeCell ref="E6:F7"/>
    <x:mergeCell ref="H5:I5"/>
    <x:mergeCell ref="H6:I7"/>
    <x:mergeCell ref="K5:L5"/>
    <x:mergeCell ref="K6:L7"/>
    <x:mergeCell ref="B10:I10"/>
    <x:mergeCell ref="B20:I20"/>
    <x:mergeCell ref="K10:P10"/>
    <x:mergeCell ref="B31:I33"/>
  </x:mergeCells>
  <x:pageMargins left="0.7" right="0.7" top="0.75" bottom="0.75" header="0.3" footer="0.3"/>
  <x:drawing xmlns:r="http://schemas.openxmlformats.org/officeDocument/2006/relationships" r:id="R8e5d71891d0f4acf"/>
</x:worksheet>
</file>