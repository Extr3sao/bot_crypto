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FASES" sheetId="2" state="visible" r:id="rId2"/>
    <sheet name="RFC_Y_WP" sheetId="3" state="visible" r:id="rId3"/>
    <sheet name="BLOQUEOS" sheetId="4" state="visible" r:id="rId4"/>
    <sheet name="DEPENDENCIAS" sheetId="5" state="visible" r:id="rId5"/>
    <sheet name="EVIDENCIAS" sheetId="6" state="visible" r:id="rId6"/>
    <sheet name="HISTORIAL" sheetId="7" state="visible" r:id="rId7"/>
    <sheet name="COMO_ACTUALIZAR" sheetId="8" state="visible" r:id="rId8"/>
    <sheet name="RESUMEN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.0000;[Red](#,##0.0000);-"/>
  </numFmts>
  <fonts count="9">
    <font>
      <name val="Carlito"/>
      <sz val="11"/>
    </font>
    <font>
      <name val="Carlito"/>
      <b val="1"/>
      <color rgb="FFFFFFFF"/>
      <sz val="18"/>
    </font>
    <font>
      <name val="Carlito"/>
      <color rgb="FF1F3952"/>
      <sz val="10"/>
    </font>
    <font>
      <name val="Carlito"/>
      <b val="1"/>
      <color rgb="FFFFFFFF"/>
      <sz val="10"/>
    </font>
    <font>
      <name val="Carlito"/>
      <b val="1"/>
      <color rgb="FF1F3952"/>
      <sz val="11"/>
    </font>
    <font>
      <name val="Carlito"/>
      <color rgb="FFAD5B00"/>
      <sz val="11"/>
    </font>
    <font>
      <name val="Carlito"/>
      <b val="1"/>
      <color rgb="FF1F3952"/>
      <sz val="19"/>
    </font>
    <font>
      <name val="Carlito"/>
      <b val="1"/>
      <color rgb="FFFFFFFF"/>
      <sz val="12"/>
    </font>
    <font>
      <name val="Carlito"/>
      <b val="1"/>
      <color rgb="FF007E87"/>
      <sz val="11"/>
    </font>
  </fonts>
  <fills count="15">
    <fill>
      <patternFill/>
    </fill>
    <fill>
      <patternFill patternType="gray125"/>
    </fill>
    <fill>
      <patternFill patternType="solid">
        <fgColor rgb="FF12243A"/>
      </patternFill>
    </fill>
    <fill>
      <patternFill patternType="solid">
        <fgColor rgb="FFDBF3F4"/>
      </patternFill>
    </fill>
    <fill>
      <patternFill patternType="solid">
        <fgColor rgb="FFF2F6FA"/>
      </patternFill>
    </fill>
    <fill>
      <patternFill patternType="solid">
        <fgColor rgb="FF1F3952"/>
      </patternFill>
    </fill>
    <fill>
      <patternFill patternType="solid">
        <fgColor rgb="FFDCF4E7"/>
      </patternFill>
    </fill>
    <fill>
      <patternFill patternType="solid">
        <fgColor rgb="FFD3ECEB"/>
      </patternFill>
    </fill>
    <fill>
      <patternFill patternType="solid">
        <fgColor rgb="FFDDF0FF"/>
      </patternFill>
    </fill>
    <fill>
      <patternFill patternType="solid">
        <fgColor rgb="FFFFF1D9"/>
      </patternFill>
    </fill>
    <fill>
      <patternFill patternType="solid">
        <fgColor rgb="FFE8EDF4"/>
      </patternFill>
    </fill>
    <fill>
      <patternFill patternType="solid">
        <fgColor rgb="FFEFE7FF"/>
      </patternFill>
    </fill>
    <fill>
      <patternFill patternType="solid">
        <fgColor rgb="FFFFE3E4"/>
      </patternFill>
    </fill>
    <fill>
      <patternFill patternType="solid">
        <fgColor rgb="FFFAD1D1"/>
      </patternFill>
    </fill>
    <fill>
      <patternFill patternType="solid">
        <fgColor rgb="FFF0F5FA"/>
      </patternFill>
    </fill>
  </fills>
  <borders count="2">
    <border/>
    <border/>
  </borders>
  <cellStyleXfs count="1">
    <xf numFmtId="0" fontId="0" fillId="0" borderId="1"/>
  </cellStyleXfs>
  <cellXfs count="8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0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wrapText="1"/>
    </xf>
    <xf numFmtId="0" fontId="4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1" pivotButton="0" quotePrefix="0" xfId="0"/>
    <xf numFmtId="0" fontId="0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" fontId="0" fillId="0" borderId="0" pivotButton="0" quotePrefix="0" xfId="0"/>
    <xf numFmtId="1" fontId="0" fillId="0" borderId="1" pivotButton="0" quotePrefix="0" xfId="0"/>
    <xf numFmtId="0" fontId="0" fillId="6" borderId="0" pivotButton="0" quotePrefix="0" xfId="0"/>
    <xf numFmtId="0" fontId="0" fillId="6" borderId="1" pivotButton="0" quotePrefix="0" xfId="0"/>
    <xf numFmtId="0" fontId="0" fillId="7" borderId="0" pivotButton="0" quotePrefix="0" xfId="0"/>
    <xf numFmtId="0" fontId="0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0" fillId="9" borderId="0" pivotButton="0" quotePrefix="0" xfId="0"/>
    <xf numFmtId="0" fontId="0" fillId="9" borderId="1" pivotButton="0" quotePrefix="0" xfId="0"/>
    <xf numFmtId="0" fontId="0" fillId="10" borderId="0" pivotButton="0" quotePrefix="0" xfId="0"/>
    <xf numFmtId="0" fontId="0" fillId="10" borderId="1" pivotButton="0" quotePrefix="0" xfId="0"/>
    <xf numFmtId="0" fontId="0" fillId="11" borderId="0" pivotButton="0" quotePrefix="0" xfId="0"/>
    <xf numFmtId="0" fontId="0" fillId="11" borderId="1" pivotButton="0" quotePrefix="0" xfId="0"/>
    <xf numFmtId="0" fontId="0" fillId="12" borderId="0" pivotButton="0" quotePrefix="0" xfId="0"/>
    <xf numFmtId="0" fontId="0" fillId="12" borderId="1" pivotButton="0" quotePrefix="0" xfId="0"/>
    <xf numFmtId="0" fontId="0" fillId="13" borderId="0" pivotButton="0" quotePrefix="0" xfId="0"/>
    <xf numFmtId="0" fontId="0" fillId="13" borderId="1" pivotButton="0" quotePrefix="0" xfId="0"/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wrapText="1"/>
    </xf>
    <xf numFmtId="0" fontId="4" fillId="14" borderId="0" applyAlignment="1" pivotButton="0" quotePrefix="0" xfId="0">
      <alignment vertical="center" wrapText="1"/>
    </xf>
    <xf numFmtId="0" fontId="0" fillId="0" borderId="0" pivotButton="0" quotePrefix="0" xfId="0"/>
    <xf numFmtId="9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" fontId="0" fillId="0" borderId="0" pivotButton="0" quotePrefix="0" xfId="0"/>
    <xf numFmtId="0" fontId="4" fillId="14" borderId="1" applyAlignment="1" pivotButton="0" quotePrefix="0" xfId="0">
      <alignment vertical="center" wrapText="1"/>
    </xf>
  </cellXfs>
  <cellStyles count="1">
    <cellStyle name="Normal" xfId="0"/>
  </cellStyles>
  <dxfs count="29"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DCF4E7"/>
        </patternFill>
      </fill>
    </dxf>
    <dxf>
      <fill>
        <patternFill>
          <bgColor rgb="FFD3ECEB"/>
        </patternFill>
      </fill>
    </dxf>
    <dxf>
      <fill>
        <patternFill>
          <bgColor rgb="FFDDF0FF"/>
        </patternFill>
      </fill>
    </dxf>
    <dxf>
      <fill>
        <patternFill>
          <bgColor rgb="FFFFF1D9"/>
        </patternFill>
      </fill>
    </dxf>
    <dxf>
      <fill>
        <patternFill>
          <bgColor rgb="FFE8EDF4"/>
        </patternFill>
      </fill>
    </dxf>
    <dxf>
      <fill>
        <patternFill>
          <bgColor rgb="FFEFE7FF"/>
        </patternFill>
      </fill>
    </dxf>
    <dxf>
      <fill>
        <patternFill>
          <bgColor rgb="FFFFE3E4"/>
        </patternFill>
      </fill>
    </dxf>
    <dxf>
      <fill>
        <patternFill>
          <bgColor rgb="FFFAD1D1"/>
        </patternFill>
      </fill>
    </dxf>
    <dxf>
      <fill>
        <patternFill>
          <bgColor rgb="FFEAEDF0"/>
        </patternFill>
      </fill>
    </dxf>
    <dxf>
      <fill>
        <patternFill>
          <bgColor rgb="FFFFE3E4"/>
        </patternFill>
      </fill>
    </dxf>
    <dxf>
      <font>
        <color rgb="FFB91C1C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Items por estado (sin inferir certificación)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'RESUMEN'!$K$11:$K$18</f>
              <strCache>
                <ptCount val="0"/>
              </strCache>
            </strRef>
          </cat>
          <val>
            <numRef>
              <f>'RESUMEN'!$L$11:$L$18</f>
              <numCache>
                <formatCode>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19</row>
      <rowOff>0</rowOff>
    </from>
    <to>
      <col>16</col>
      <colOff>0</colOff>
      <row>35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RoadmapMasterTable" displayName="RoadmapMasterTable" ref="A5:U66" headerRowCount="1" totalsRowCount="0" totalsRowShown="0">
  <tableColumns count="21">
    <tableColumn id="1" name="ID"/>
    <tableColumn id="2" name="Frente / línea"/>
    <tableColumn id="3" name="Fase VNext"/>
    <tableColumn id="4" name="RFC / WP"/>
    <tableColumn id="5" name="Actividad o entregable"/>
    <tableColumn id="6" name="Estado real"/>
    <tableColumn id="7" name="Prio"/>
    <tableColumn id="8" name="Avance ejec."/>
    <tableColumn id="9" name="Orden"/>
    <tableColumn id="10" name="Depende de"/>
    <tableColumn id="11" name="Criterio aceptación / evidencia"/>
    <tableColumn id="12" name="Commit / artefacto"/>
    <tableColumn id="13" name="URL fuente"/>
    <tableColumn id="14" name="Responsable"/>
    <tableColumn id="15" name="Inicio"/>
    <tableColumn id="16" name="Fecha objetivo"/>
    <tableColumn id="17" name="Últ. actualización"/>
    <tableColumn id="18" name="Próxima acción"/>
    <tableColumn id="19" name="Bloqueo / causa"/>
    <tableColumn id="20" name="Tipo evidencia"/>
    <tableColumn id="21" name="Notas / limit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asesVNextTable" displayName="FasesVNextTable" ref="A5:F21" headerRowCount="1" totalsRowCount="0" totalsRowShown="0">
  <tableColumns count="6">
    <tableColumn id="1" name="Fase"/>
    <tableColumn id="2" name="Estado"/>
    <tableColumn id="3" name="Resultado / límite"/>
    <tableColumn id="4" name="Fuente"/>
    <tableColumn id="5" name="Gate"/>
    <tableColumn id="6" name="Actualiz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FCWorkPackagesTable" displayName="RFCWorkPackagesTable" ref="A5:H19" headerRowCount="1" totalsRowCount="0" totalsRowShown="0">
  <tableColumns count="8">
    <tableColumn id="1" name="RFC / WP"/>
    <tableColumn id="2" name="Área"/>
    <tableColumn id="3" name="Estado"/>
    <tableColumn id="4" name="Resultado y limitación"/>
    <tableColumn id="5" name="Commit / evidencia"/>
    <tableColumn id="6" name="IDs del roadmap"/>
    <tableColumn id="7" name="Enlace GitHub"/>
    <tableColumn id="8" name="Actualizació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lockedItemsTable" displayName="BlockedItemsTable" ref="A5:J19" headerRowCount="1" totalsRowCount="0" totalsRowShown="0">
  <tableColumns count="10">
    <tableColumn id="1" name="ID"/>
    <tableColumn id="2" name="Prio"/>
    <tableColumn id="3" name="Impacto"/>
    <tableColumn id="4" name="Bloqueo"/>
    <tableColumn id="5" name="Frente"/>
    <tableColumn id="6" name="Items afectados"/>
    <tableColumn id="7" name="Código"/>
    <tableColumn id="8" name="Evidencia / lectura"/>
    <tableColumn id="9" name="Siguiente desbloqueo"/>
    <tableColumn id="10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pendenciesTable" displayName="DependenciesTable" ref="A5:D25" headerRowCount="1" totalsRowCount="0" totalsRowShown="0">
  <tableColumns count="4">
    <tableColumn id="1" name="Item dependiente"/>
    <tableColumn id="2" name="Requisito"/>
    <tableColumn id="3" name="Tipo"/>
    <tableColumn id="4" name="Por qué bloquea / impide falso éxi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EvidenceRegisterTable" displayName="EvidenceRegisterTable" ref="A5:K21" headerRowCount="1" totalsRowCount="0" totalsRowShown="0">
  <tableColumns count="11">
    <tableColumn id="1" name="ID"/>
    <tableColumn id="2" name="Fecha"/>
    <tableColumn id="3" name="WP"/>
    <tableColumn id="4" name="Clase"/>
    <tableColumn id="5" name="Nombre / dataset"/>
    <tableColumn id="6" name="Commit"/>
    <tableColumn id="7" name="Nº"/>
    <tableColumn id="8" name="Resultado 2"/>
    <tableColumn id="9" name="Unidad"/>
    <tableColumn id="10" name="Lectura rigurosa"/>
    <tableColumn id="11" name="URL fuen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oadmapHistoryTable" displayName="RoadmapHistoryTable" ref="A5:G12" headerRowCount="1" totalsRowCount="0" totalsRowShown="0">
  <tableColumns count="7">
    <tableColumn id="1" name="Fecha"/>
    <tableColumn id="2" name="ID / línea"/>
    <tableColumn id="3" name="Tipo cambio"/>
    <tableColumn id="4" name="Qué cambió"/>
    <tableColumn id="5" name="Editor"/>
    <tableColumn id="6" name="Evidencia / commit"/>
    <tableColumn id="7" name="Vers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1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3" customWidth="1" style="82" min="1" max="1"/>
    <col width="20" customWidth="1" style="82" min="2" max="2"/>
    <col width="22" customWidth="1" style="82" min="3" max="3"/>
    <col width="24" customWidth="1" style="82" min="4" max="4"/>
    <col width="44" customWidth="1" style="82" min="5" max="5"/>
    <col width="21" customWidth="1" style="82" min="6" max="6"/>
    <col width="10" customWidth="1" style="82" min="7" max="7"/>
    <col width="14" customWidth="1" style="82" min="8" max="8"/>
    <col width="10" customWidth="1" style="82" min="9" max="9"/>
    <col width="24" customWidth="1" style="82" min="10" max="10"/>
    <col width="45" customWidth="1" style="82" min="11" max="11"/>
    <col width="30" customWidth="1" style="82" min="12" max="12"/>
    <col width="42" customWidth="1" style="82" min="13" max="13"/>
    <col width="20" customWidth="1" style="82" min="14" max="14"/>
    <col width="14" customWidth="1" style="82" min="15" max="15"/>
    <col width="16" customWidth="1" style="82" min="16" max="16"/>
    <col width="19" customWidth="1" style="82" min="17" max="17"/>
    <col width="50" customWidth="1" style="82" min="18" max="18"/>
    <col width="44" customWidth="1" style="82" min="19" max="19"/>
    <col width="24" customWidth="1" style="82" min="20" max="20"/>
    <col width="54" customWidth="1" style="82" min="21" max="21"/>
  </cols>
  <sheetData>
    <row r="1" ht="26" customHeight="1" s="82">
      <c r="A1" s="7" t="inlineStr">
        <is>
          <t>ROADMAP MAESTRO | 71 entregables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 ht="24" customHeight="1" s="82">
      <c r="A3" s="13" t="inlineStr">
        <is>
          <t>25 oct 2026 · v1.6 · sincronización LOCAL -&gt; GITHUB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Frente / línea</t>
        </is>
      </c>
      <c r="C5" s="16" t="inlineStr">
        <is>
          <t>Fase VNext</t>
        </is>
      </c>
      <c r="D5" s="16" t="inlineStr">
        <is>
          <t>RFC / WP</t>
        </is>
      </c>
      <c r="E5" s="16" t="inlineStr">
        <is>
          <t>Actividad o entregable</t>
        </is>
      </c>
      <c r="F5" s="16" t="inlineStr">
        <is>
          <t>Estado real</t>
        </is>
      </c>
      <c r="G5" s="16" t="inlineStr">
        <is>
          <t>Prio</t>
        </is>
      </c>
      <c r="H5" s="16" t="inlineStr">
        <is>
          <t>Avance ejec.</t>
        </is>
      </c>
      <c r="I5" s="16" t="inlineStr">
        <is>
          <t>Orden</t>
        </is>
      </c>
      <c r="J5" s="16" t="inlineStr">
        <is>
          <t>Depende de</t>
        </is>
      </c>
      <c r="K5" s="16" t="inlineStr">
        <is>
          <t>Criterio aceptación / evidencia</t>
        </is>
      </c>
      <c r="L5" s="16" t="inlineStr">
        <is>
          <t>Commit / artefacto</t>
        </is>
      </c>
      <c r="M5" s="16" t="inlineStr">
        <is>
          <t>URL fuente</t>
        </is>
      </c>
      <c r="N5" s="16" t="inlineStr">
        <is>
          <t>Responsable</t>
        </is>
      </c>
      <c r="O5" s="16" t="inlineStr">
        <is>
          <t>Inicio</t>
        </is>
      </c>
      <c r="P5" s="16" t="inlineStr">
        <is>
          <t>Fecha objetivo</t>
        </is>
      </c>
      <c r="Q5" s="16" t="inlineStr">
        <is>
          <t>Últ. actualización</t>
        </is>
      </c>
      <c r="R5" s="16" t="inlineStr">
        <is>
          <t>Próxima acción</t>
        </is>
      </c>
      <c r="S5" s="16" t="inlineStr">
        <is>
          <t>Bloqueo / causa</t>
        </is>
      </c>
      <c r="T5" s="16" t="inlineStr">
        <is>
          <t>Tipo evidencia</t>
        </is>
      </c>
      <c r="U5" s="16" t="inlineStr">
        <is>
          <t>Notas / limitaciones</t>
        </is>
      </c>
    </row>
    <row r="6" ht="31" customHeight="1" s="82">
      <c r="A6" s="26" t="inlineStr">
        <is>
          <t>TAP-001</t>
        </is>
      </c>
      <c r="B6" s="22" t="inlineStr">
        <is>
          <t>Auditoría &amp; gobernanza</t>
        </is>
      </c>
      <c r="C6" s="22" t="inlineStr">
        <is>
          <t>00 Auditoría</t>
        </is>
      </c>
      <c r="D6" s="22" t="inlineStr">
        <is>
          <t>WP-EDGE-00</t>
        </is>
      </c>
      <c r="E6" s="22" t="inlineStr">
        <is>
          <t>Establecer branch/worktree/baseline autoritativo del runtime económico</t>
        </is>
      </c>
      <c r="F6" s="22" t="inlineStr">
        <is>
          <t>IMPLEMENTADO</t>
        </is>
      </c>
      <c r="G6" s="22" t="inlineStr">
        <is>
          <t>P0</t>
        </is>
      </c>
      <c r="H6" s="83" t="n">
        <v>1</v>
      </c>
      <c r="I6" s="22" t="n">
        <v>1</v>
      </c>
      <c r="J6" s="22" t="str"/>
      <c r="K6" s="22" t="inlineStr">
        <is>
          <t>Reporte publicado; mapa total de main no recertificado</t>
        </is>
      </c>
      <c r="L6" s="22" t="inlineStr">
        <is>
          <t>b17644a / WP-EDGE-00</t>
        </is>
      </c>
      <c r="M6" s="22" t="inlineStr">
        <is>
          <t>https://github.com/Extr3sao/bot_crypto/tree/agent/edge-recovery/WP-EDGE-00-baseline</t>
        </is>
      </c>
      <c r="N6" s="22" t="inlineStr">
        <is>
          <t>Codex</t>
        </is>
      </c>
      <c r="O6" s="22" t="str"/>
      <c r="P6" s="22" t="str"/>
      <c r="Q6" s="22" t="inlineStr">
        <is>
          <t>2026-10-18</t>
        </is>
      </c>
      <c r="R6" s="28" t="str"/>
      <c r="S6" s="28" t="str"/>
      <c r="T6" s="22" t="inlineStr">
        <is>
          <t>REPO_REPORT</t>
        </is>
      </c>
      <c r="U6" s="22" t="inlineStr">
        <is>
          <t>Cerrado sobre rama económica; NO equivale a que main esté integrado.</t>
        </is>
      </c>
    </row>
    <row r="7" ht="31" customHeight="1" s="82">
      <c r="A7" s="26" t="inlineStr">
        <is>
          <t>TAP-002</t>
        </is>
      </c>
      <c r="B7" s="22" t="inlineStr">
        <is>
          <t>Auditoría &amp; gobernanza</t>
        </is>
      </c>
      <c r="C7" s="22" t="inlineStr">
        <is>
          <t>00 Auditoría</t>
        </is>
      </c>
      <c r="D7" s="22" t="inlineStr">
        <is>
          <t>WP-EDGE-017F</t>
        </is>
      </c>
      <c r="E7" s="22" t="inlineStr">
        <is>
          <t>Corregir ventana semanal UTC en RiskManager + restore</t>
        </is>
      </c>
      <c r="F7" s="22" t="inlineStr">
        <is>
          <t>VERIFICADO_FOCAL</t>
        </is>
      </c>
      <c r="G7" s="22" t="inlineStr">
        <is>
          <t>P0</t>
        </is>
      </c>
      <c r="H7" s="83" t="n">
        <v>1</v>
      </c>
      <c r="I7" s="22" t="n">
        <v>2</v>
      </c>
      <c r="J7" s="22" t="inlineStr">
        <is>
          <t>TAP-001</t>
        </is>
      </c>
      <c r="K7" s="22" t="inlineStr">
        <is>
          <t>roll_week y 14 tests semanales; sin cambio límites</t>
        </is>
      </c>
      <c r="L7" s="22" t="inlineStr">
        <is>
          <t>b17644a / FINAL_REPORT EDGE-017</t>
        </is>
      </c>
      <c r="M7" s="22" t="inlineStr">
        <is>
          <t>https://github.com/Extr3sao/bot_crypto/blob/agent/edge-recovery/WP-EDGE-00-baseline/reports/economic-recovery/RFC-EDGE-017/FINAL_REPORT.md</t>
        </is>
      </c>
      <c r="N7" s="22" t="inlineStr">
        <is>
          <t>Codex</t>
        </is>
      </c>
      <c r="O7" s="22" t="str"/>
      <c r="P7" s="22" t="str"/>
      <c r="Q7" s="22" t="inlineStr">
        <is>
          <t>2026-10-18</t>
        </is>
      </c>
      <c r="R7" s="28" t="str"/>
      <c r="S7" s="28" t="str"/>
      <c r="T7" s="22" t="inlineStr">
        <is>
          <t>REPO_REPORT</t>
        </is>
      </c>
      <c r="U7" s="22" t="str"/>
    </row>
    <row r="8" ht="31" customHeight="1" s="82">
      <c r="A8" s="26" t="inlineStr">
        <is>
          <t>TAP-003</t>
        </is>
      </c>
      <c r="B8" s="22" t="inlineStr">
        <is>
          <t>Auditoría &amp; gobernanza</t>
        </is>
      </c>
      <c r="C8" s="22" t="inlineStr">
        <is>
          <t>00 Auditoría</t>
        </is>
      </c>
      <c r="D8" s="22" t="inlineStr">
        <is>
          <t>WP-EDGE-017F</t>
        </is>
      </c>
      <c r="E8" s="22" t="inlineStr">
        <is>
          <t>DD de curva MTM y riesgo neto 1×/2×/3×</t>
        </is>
      </c>
      <c r="F8" s="22" t="inlineStr">
        <is>
          <t>VERIFICADO_FOCAL</t>
        </is>
      </c>
      <c r="G8" s="22" t="inlineStr">
        <is>
          <t>P0</t>
        </is>
      </c>
      <c r="H8" s="83" t="n">
        <v>1</v>
      </c>
      <c r="I8" s="22" t="n">
        <v>3</v>
      </c>
      <c r="J8" s="22" t="inlineStr">
        <is>
          <t>TAP-002</t>
        </is>
      </c>
      <c r="K8" s="22" t="inlineStr">
        <is>
          <t>31/31 checks y 14/14 fallos; pérdidas verificadas</t>
        </is>
      </c>
      <c r="L8" s="22" t="inlineStr">
        <is>
          <t>b17644a / NET_RISK_REPLAY.json</t>
        </is>
      </c>
      <c r="M8" s="22" t="inlineStr">
        <is>
          <t>https://github.com/Extr3sao/bot_crypto/blob/agent/edge-recovery/WP-EDGE-00-baseline/reports/economic-recovery/RFC-EDGE-017/NET_RISK_REPLAY.json</t>
        </is>
      </c>
      <c r="N8" s="22" t="inlineStr">
        <is>
          <t>Codex</t>
        </is>
      </c>
      <c r="O8" s="22" t="str"/>
      <c r="P8" s="22" t="str"/>
      <c r="Q8" s="22" t="inlineStr">
        <is>
          <t>2026-10-18</t>
        </is>
      </c>
      <c r="R8" s="28" t="str"/>
      <c r="S8" s="28" t="str"/>
      <c r="T8" s="22" t="inlineStr">
        <is>
          <t>REPO_REPORT</t>
        </is>
      </c>
      <c r="U8" s="22" t="str"/>
    </row>
    <row r="9" ht="31" customHeight="1" s="82">
      <c r="A9" s="26" t="inlineStr">
        <is>
          <t>TAP-004</t>
        </is>
      </c>
      <c r="B9" s="22" t="inlineStr">
        <is>
          <t>Evidencia &amp; reporting</t>
        </is>
      </c>
      <c r="C9" s="22" t="inlineStr">
        <is>
          <t>12 Observabilidad</t>
        </is>
      </c>
      <c r="D9" s="22" t="inlineStr">
        <is>
          <t>TAP-EVIDENCE-004</t>
        </is>
      </c>
      <c r="E9" s="22" t="inlineStr">
        <is>
          <t>Ledger canónico REA y diferenciación exit vs ejecutado</t>
        </is>
      </c>
      <c r="F9" s="22" t="inlineStr">
        <is>
          <t>VERIFICADO_FOCAL</t>
        </is>
      </c>
      <c r="G9" s="22" t="inlineStr">
        <is>
          <t>P0</t>
        </is>
      </c>
      <c r="H9" s="83" t="n">
        <v>1</v>
      </c>
      <c r="I9" s="22" t="n">
        <v>4</v>
      </c>
      <c r="J9" s="22" t="inlineStr">
        <is>
          <t>TAP-001</t>
        </is>
      </c>
      <c r="K9" s="22" t="inlineStr">
        <is>
          <t>7 ID registrados; 2 NO ejecutadas; 2/7 archivos verificados</t>
        </is>
      </c>
      <c r="L9" s="22" t="inlineStr">
        <is>
          <t>243ba12 / CANONICAL_RUN.json</t>
        </is>
      </c>
      <c r="M9" s="22" t="inlineStr">
        <is>
          <t>https://github.com/Extr3sao/bot_crypto/tree/agent/evidence/RFC-TAP-EVIDENCE-004/reports/ai-bots/RFC-AI-BOTS-002/evidence-004</t>
        </is>
      </c>
      <c r="N9" s="22" t="inlineStr">
        <is>
          <t>Codex</t>
        </is>
      </c>
      <c r="O9" s="22" t="str"/>
      <c r="P9" s="22" t="str"/>
      <c r="Q9" s="22" t="inlineStr">
        <is>
          <t>2026-10-18</t>
        </is>
      </c>
      <c r="R9" s="28" t="str"/>
      <c r="S9" s="28" t="str"/>
      <c r="T9" s="22" t="inlineStr">
        <is>
          <t>REPO_REPORT</t>
        </is>
      </c>
      <c r="U9" s="22" t="inlineStr">
        <is>
          <t>Conservar documentos antiguos superseded.</t>
        </is>
      </c>
    </row>
    <row r="10" ht="31" customHeight="1" s="82">
      <c r="A10" s="26" t="inlineStr">
        <is>
          <t>TAP-005</t>
        </is>
      </c>
      <c r="B10" s="22" t="inlineStr">
        <is>
          <t>Evidencia &amp; reporting</t>
        </is>
      </c>
      <c r="C10" s="22" t="inlineStr">
        <is>
          <t>12 Observabilidad</t>
        </is>
      </c>
      <c r="D10" s="22" t="inlineStr">
        <is>
          <t>EVIDENCE-004F</t>
        </is>
      </c>
      <c r="E10" s="22" t="inlineStr">
        <is>
          <t>Normalización LF/CRLF; source spans no vacuos; hashes tipados</t>
        </is>
      </c>
      <c r="F10" s="22" t="inlineStr">
        <is>
          <t>VERIFICADO_FOCAL</t>
        </is>
      </c>
      <c r="G10" s="22" t="inlineStr">
        <is>
          <t>P0</t>
        </is>
      </c>
      <c r="H10" s="83" t="n">
        <v>1</v>
      </c>
      <c r="I10" s="22" t="n">
        <v>5</v>
      </c>
      <c r="J10" s="22" t="inlineStr">
        <is>
          <t>TAP-004</t>
        </is>
      </c>
      <c r="K10" s="22" t="inlineStr">
        <is>
          <t>42/42 checks y 18/18 mutaciones según informe</t>
        </is>
      </c>
      <c r="L10" s="22" t="inlineStr">
        <is>
          <t>b7e100a / VERIFICATION.json</t>
        </is>
      </c>
      <c r="M10" s="22" t="inlineStr">
        <is>
          <t>https://github.com/Extr3sao/bot_crypto/blob/agent/evidence/RFC-TAP-EVIDENCE-004/reports/ai-bots/RFC-AI-BOTS-002/evidence-004/VERIFICATION.json</t>
        </is>
      </c>
      <c r="N10" s="22" t="inlineStr">
        <is>
          <t>Codex</t>
        </is>
      </c>
      <c r="O10" s="22" t="str"/>
      <c r="P10" s="22" t="str"/>
      <c r="Q10" s="22" t="inlineStr">
        <is>
          <t>2026-10-18</t>
        </is>
      </c>
      <c r="R10" s="28" t="str"/>
      <c r="S10" s="28" t="str"/>
      <c r="T10" s="22" t="inlineStr">
        <is>
          <t>REPO_REPORT</t>
        </is>
      </c>
      <c r="U10" s="22" t="str"/>
    </row>
    <row r="11" ht="31" customHeight="1" s="82">
      <c r="A11" s="26" t="inlineStr">
        <is>
          <t>TAP-006</t>
        </is>
      </c>
      <c r="B11" s="22" t="inlineStr">
        <is>
          <t>Evidencia &amp; reporting</t>
        </is>
      </c>
      <c r="C11" s="22" t="inlineStr">
        <is>
          <t>12 Observabilidad</t>
        </is>
      </c>
      <c r="D11" s="22" t="inlineStr">
        <is>
          <t>EVIDENCE-004F</t>
        </is>
      </c>
      <c r="E11" s="22" t="inlineStr">
        <is>
          <t>Generación atómica + supresión de informes antiguos con manifiesto</t>
        </is>
      </c>
      <c r="F11" s="22" t="inlineStr">
        <is>
          <t>VERIFICADO_FOCAL</t>
        </is>
      </c>
      <c r="G11" s="22" t="inlineStr">
        <is>
          <t>P0</t>
        </is>
      </c>
      <c r="H11" s="83" t="n">
        <v>1</v>
      </c>
      <c r="I11" s="22" t="n">
        <v>6</v>
      </c>
      <c r="J11" s="22" t="inlineStr">
        <is>
          <t>TAP-004</t>
        </is>
      </c>
      <c r="K11" s="22" t="inlineStr">
        <is>
          <t>Dos raíces LF/CRLF; claims derivados</t>
        </is>
      </c>
      <c r="L11" s="22" t="inlineStr">
        <is>
          <t>b7e100a / FINAL_REPORT.md</t>
        </is>
      </c>
      <c r="M11" s="22" t="inlineStr">
        <is>
          <t>https://github.com/Extr3sao/bot_crypto/blob/agent/evidence/RFC-TAP-EVIDENCE-004/reports/ai-bots/RFC-AI-BOTS-002/evidence-004/FINAL_REPORT.md</t>
        </is>
      </c>
      <c r="N11" s="22" t="inlineStr">
        <is>
          <t>Codex</t>
        </is>
      </c>
      <c r="O11" s="22" t="str"/>
      <c r="P11" s="22" t="str"/>
      <c r="Q11" s="22" t="inlineStr">
        <is>
          <t>2026-10-18</t>
        </is>
      </c>
      <c r="R11" s="28" t="str"/>
      <c r="S11" s="28" t="str"/>
      <c r="T11" s="22" t="inlineStr">
        <is>
          <t>REPO_REPORT</t>
        </is>
      </c>
      <c r="U11" s="22" t="str"/>
    </row>
    <row r="12" ht="31" customHeight="1" s="82">
      <c r="A12" s="26" t="inlineStr">
        <is>
          <t>TAP-007</t>
        </is>
      </c>
      <c r="B12" s="22" t="inlineStr">
        <is>
          <t>Evidencia &amp; reporting</t>
        </is>
      </c>
      <c r="C12" s="22" t="inlineStr">
        <is>
          <t>12 Observabilidad</t>
        </is>
      </c>
      <c r="D12" s="22" t="inlineStr">
        <is>
          <t>EVIDENCE-004</t>
        </is>
      </c>
      <c r="E12" s="22" t="inlineStr">
        <is>
          <t>Verificación CI limpia del reporte global y check de todos los informes futuros</t>
        </is>
      </c>
      <c r="F12" s="22" t="inlineStr">
        <is>
          <t>PENDIENTE</t>
        </is>
      </c>
      <c r="G12" s="22" t="inlineStr">
        <is>
          <t>P0</t>
        </is>
      </c>
      <c r="H12" s="83" t="n">
        <v>0.15</v>
      </c>
      <c r="I12" s="22" t="n">
        <v>14</v>
      </c>
      <c r="J12" s="22" t="inlineStr">
        <is>
          <t>TAP-005; TAP-006</t>
        </is>
      </c>
      <c r="K12" s="22" t="inlineStr">
        <is>
          <t>No publicar GLOBAL_PASS hasta suite reproducible</t>
        </is>
      </c>
      <c r="L12" s="22" t="inlineStr">
        <is>
          <t>Issue #13</t>
        </is>
      </c>
      <c r="M12" s="22" t="inlineStr">
        <is>
          <t>https://github.com/Extr3sao/bot_crypto/issues/13</t>
        </is>
      </c>
      <c r="N12" s="22" t="inlineStr">
        <is>
          <t>Codex</t>
        </is>
      </c>
      <c r="O12" s="22" t="str"/>
      <c r="P12" s="22" t="str"/>
      <c r="Q12" s="22" t="inlineStr">
        <is>
          <t>2026-10-18</t>
        </is>
      </c>
      <c r="R12" s="28" t="inlineStr">
        <is>
          <t>Crear gate CI de informes en checkout limpio; no sobrescribir pruebas ajenas.</t>
        </is>
      </c>
      <c r="S12" s="28" t="inlineStr">
        <is>
          <t>Suite global no certificada en la rama AI.</t>
        </is>
      </c>
      <c r="T12" s="22" t="inlineStr">
        <is>
          <t>REPO_REPORT</t>
        </is>
      </c>
      <c r="U12" s="22" t="str"/>
    </row>
    <row r="13" ht="31" customHeight="1" s="82">
      <c r="A13" s="26" t="inlineStr">
        <is>
          <t>TAP-008</t>
        </is>
      </c>
      <c r="B13" s="22" t="inlineStr">
        <is>
          <t>Investigación externa</t>
        </is>
      </c>
      <c r="C13" s="22" t="inlineStr">
        <is>
          <t>01 Research</t>
        </is>
      </c>
      <c r="D13" s="22" t="inlineStr">
        <is>
          <t>AI-BOTS-002 REA v3</t>
        </is>
      </c>
      <c r="E13" s="22" t="inlineStr">
        <is>
          <t>Ejecutar REA sobre JS/web originales: nof1, Semantic Signal, FenixAI</t>
        </is>
      </c>
      <c r="F13" s="22" t="inlineStr">
        <is>
          <t>VERIFICADO_FOCAL</t>
        </is>
      </c>
      <c r="G13" s="22" t="inlineStr">
        <is>
          <t>P1</t>
        </is>
      </c>
      <c r="H13" s="83" t="n">
        <v>1</v>
      </c>
      <c r="I13" s="22" t="n">
        <v>5</v>
      </c>
      <c r="J13" s="22" t="inlineStr">
        <is>
          <t>TAP-001</t>
        </is>
      </c>
      <c r="K13" s="22" t="inlineStr">
        <is>
          <t>REA real con evidence_id; solo prueba superficies JS/web</t>
        </is>
      </c>
      <c r="L13" s="22" t="inlineStr">
        <is>
          <t>6403c71 / dossier REA</t>
        </is>
      </c>
      <c r="M13" s="22" t="inlineStr">
        <is>
          <t>https://github.com/Extr3sao/bot_crypto/tree/agent/ai-vision/RFC-AI-VISION-001/reports/ai-bots/RFC-AI-BOTS-002/rea</t>
        </is>
      </c>
      <c r="N13" s="22" t="inlineStr">
        <is>
          <t>Codex</t>
        </is>
      </c>
      <c r="O13" s="22" t="str"/>
      <c r="P13" s="22" t="str"/>
      <c r="Q13" s="22" t="inlineStr">
        <is>
          <t>2026-10-18</t>
        </is>
      </c>
      <c r="R13" s="28" t="str"/>
      <c r="S13" s="28" t="str"/>
      <c r="T13" s="22" t="inlineStr">
        <is>
          <t>REPO_REPORT</t>
        </is>
      </c>
      <c r="U13" s="22" t="inlineStr">
        <is>
          <t>No confundir AST/DOM con backend ejecutado.</t>
        </is>
      </c>
    </row>
    <row r="14" ht="31" customHeight="1" s="82">
      <c r="A14" s="26" t="inlineStr">
        <is>
          <t>TAP-009</t>
        </is>
      </c>
      <c r="B14" s="22" t="inlineStr">
        <is>
          <t>Investigación externa</t>
        </is>
      </c>
      <c r="C14" s="22" t="inlineStr">
        <is>
          <t>01 Research</t>
        </is>
      </c>
      <c r="D14" s="22" t="inlineStr">
        <is>
          <t>AI-BOTS-002 REA v3.1</t>
        </is>
      </c>
      <c r="E14" s="22" t="inlineStr">
        <is>
          <t>Corregir atribución www.nof1.ai vs repositorio 195440</t>
        </is>
      </c>
      <c r="F14" s="22" t="inlineStr">
        <is>
          <t>VERIFICADO_FOCAL</t>
        </is>
      </c>
      <c r="G14" s="22" t="inlineStr">
        <is>
          <t>P0</t>
        </is>
      </c>
      <c r="H14" s="83" t="n">
        <v>1</v>
      </c>
      <c r="I14" s="22" t="n">
        <v>5</v>
      </c>
      <c r="J14" s="22" t="inlineStr">
        <is>
          <t>TAP-008</t>
        </is>
      </c>
      <c r="K14" s="22" t="inlineStr">
        <is>
          <t>Bundle público reetiquetado como UNATTRIBUTED</t>
        </is>
      </c>
      <c r="L14" s="22" t="inlineStr">
        <is>
          <t>6403c71 / T-NF-PUBLIC PROVENANCE</t>
        </is>
      </c>
      <c r="M14" s="22" t="inlineStr">
        <is>
          <t>https://github.com/Extr3sao/bot_crypto/tree/agent/ai-vision/RFC-AI-VISION-001/reports/ai-bots/RFC-AI-BOTS-002/rea/targets/T-NF-PUBLIC</t>
        </is>
      </c>
      <c r="N14" s="22" t="inlineStr">
        <is>
          <t>Codex</t>
        </is>
      </c>
      <c r="O14" s="22" t="str"/>
      <c r="P14" s="22" t="str"/>
      <c r="Q14" s="22" t="inlineStr">
        <is>
          <t>2026-10-18</t>
        </is>
      </c>
      <c r="R14" s="28" t="str"/>
      <c r="S14" s="28" t="str"/>
      <c r="T14" s="22" t="inlineStr">
        <is>
          <t>REPO_REPORT</t>
        </is>
      </c>
      <c r="U14" s="22" t="str"/>
    </row>
    <row r="15" ht="31" customHeight="1" s="82">
      <c r="A15" s="26" t="inlineStr">
        <is>
          <t>TAP-010</t>
        </is>
      </c>
      <c r="B15" s="22" t="inlineStr">
        <is>
          <t>Investigación externa</t>
        </is>
      </c>
      <c r="C15" s="22" t="inlineStr">
        <is>
          <t>01 Research</t>
        </is>
      </c>
      <c r="D15" s="22" t="inlineStr">
        <is>
          <t>AI-BOTS-002 REA v3.1</t>
        </is>
      </c>
      <c r="E15" s="22" t="inlineStr">
        <is>
          <t>Instrumentar renderizador de FenixAI offline, fallos cache/placeholder</t>
        </is>
      </c>
      <c r="F15" s="22" t="inlineStr">
        <is>
          <t>VERIFICADO_FOCAL</t>
        </is>
      </c>
      <c r="G15" s="22" t="inlineStr">
        <is>
          <t>P1</t>
        </is>
      </c>
      <c r="H15" s="83" t="n">
        <v>1</v>
      </c>
      <c r="I15" s="22" t="n">
        <v>6</v>
      </c>
      <c r="J15" s="22" t="inlineStr">
        <is>
          <t>TAP-008</t>
        </is>
      </c>
      <c r="K15" s="22" t="inlineStr">
        <is>
          <t>Python instrumentado != REA; no copiar antipatrones</t>
        </is>
      </c>
      <c r="L15" s="22" t="inlineStr">
        <is>
          <t>4dba317 / Fenix instrumentation</t>
        </is>
      </c>
      <c r="M15" s="22" t="inlineStr">
        <is>
          <t>https://github.com/Extr3sao/bot_crypto/tree/agent/ai-vision/RFC-AI-VISION-001/reports/ai-bots/RFC-AI-BOTS-002/rea/targets/T-FE-FENIX/instrumentation</t>
        </is>
      </c>
      <c r="N15" s="22" t="inlineStr">
        <is>
          <t>Codex</t>
        </is>
      </c>
      <c r="O15" s="22" t="str"/>
      <c r="P15" s="22" t="str"/>
      <c r="Q15" s="22" t="inlineStr">
        <is>
          <t>2026-10-18</t>
        </is>
      </c>
      <c r="R15" s="28" t="str"/>
      <c r="S15" s="28" t="str"/>
      <c r="T15" s="22" t="inlineStr">
        <is>
          <t>REPO_REPORT</t>
        </is>
      </c>
      <c r="U15" s="22" t="str"/>
    </row>
    <row r="16" ht="31" customHeight="1" s="82">
      <c r="A16" s="26" t="inlineStr">
        <is>
          <t>TAP-011</t>
        </is>
      </c>
      <c r="B16" s="22" t="inlineStr">
        <is>
          <t>Investigación externa</t>
        </is>
      </c>
      <c r="C16" s="22" t="inlineStr">
        <is>
          <t>01 Research</t>
        </is>
      </c>
      <c r="D16" s="22" t="inlineStr">
        <is>
          <t>AI-BOTS-002</t>
        </is>
      </c>
      <c r="E16" s="22" t="inlineStr">
        <is>
          <t>Certificar patrones externos funcionales con REA + runtime origen</t>
        </is>
      </c>
      <c r="F16" s="22" t="inlineStr">
        <is>
          <t>BLOQUEADO</t>
        </is>
      </c>
      <c r="G16" s="22" t="inlineStr">
        <is>
          <t>P2</t>
        </is>
      </c>
      <c r="H16" s="83" t="n">
        <v>0.2</v>
      </c>
      <c r="I16" s="22" t="n">
        <v>70</v>
      </c>
      <c r="J16" s="22" t="inlineStr">
        <is>
          <t>TAP-008; TAP-010</t>
        </is>
      </c>
      <c r="K16" s="22" t="inlineStr">
        <is>
          <t>0 patrones CERTIFIED; 5/7 artefactos solo declarados</t>
        </is>
      </c>
      <c r="L16" s="22" t="inlineStr">
        <is>
          <t>Issue #11</t>
        </is>
      </c>
      <c r="M16" s="22" t="inlineStr">
        <is>
          <t>https://github.com/Extr3sao/bot_crypto/issues/11</t>
        </is>
      </c>
      <c r="N16" s="22" t="inlineStr">
        <is>
          <t>Codex</t>
        </is>
      </c>
      <c r="O16" s="22" t="str"/>
      <c r="P16" s="22" t="str"/>
      <c r="Q16" s="22" t="inlineStr">
        <is>
          <t>2026-10-18</t>
        </is>
      </c>
      <c r="R16" s="28" t="inlineStr">
        <is>
          <t>Solo si surge un patrón diferencial con hipótesis medible.</t>
        </is>
      </c>
      <c r="S16" s="28" t="inlineStr">
        <is>
          <t>Sin cadena conductual funcional o no hay mejora demostrada.</t>
        </is>
      </c>
      <c r="T16" s="22" t="inlineStr">
        <is>
          <t>REPO_REPORT</t>
        </is>
      </c>
      <c r="U16" s="22" t="str"/>
    </row>
    <row r="17" ht="31" customHeight="1" s="82">
      <c r="A17" s="26" t="inlineStr">
        <is>
          <t>TAP-012</t>
        </is>
      </c>
      <c r="B17" s="22" t="inlineStr">
        <is>
          <t>Agentes IA</t>
        </is>
      </c>
      <c r="C17" s="22" t="inlineStr">
        <is>
          <t>04 Foundation</t>
        </is>
      </c>
      <c r="D17" s="22" t="inlineStr">
        <is>
          <t>RFC-AI-VISION-001</t>
        </is>
      </c>
      <c r="E17" s="22" t="inlineStr">
        <is>
          <t>BOT-VIS-01: charts PNG, hash, esquema, provider, ledger</t>
        </is>
      </c>
      <c r="F17" s="22" t="inlineStr">
        <is>
          <t>VERIFICADO_FOCAL</t>
        </is>
      </c>
      <c r="G17" s="22" t="inlineStr">
        <is>
          <t>P0</t>
        </is>
      </c>
      <c r="H17" s="83" t="n">
        <v>1</v>
      </c>
      <c r="I17" s="22" t="n">
        <v>7</v>
      </c>
      <c r="J17" s="22" t="inlineStr">
        <is>
          <t>TAP-008</t>
        </is>
      </c>
      <c r="K17" s="22" t="inlineStr">
        <is>
          <t>Infra construida; proveedor real NO ejecutado</t>
        </is>
      </c>
      <c r="L17" s="22" t="inlineStr">
        <is>
          <t>091d55d / source + tests</t>
        </is>
      </c>
      <c r="M17" s="22" t="inlineStr">
        <is>
          <t>https://github.com/Extr3sao/bot_crypto/tree/agent/ai-vision/RFC-AI-VISION-001/src/trading_bot/vision</t>
        </is>
      </c>
      <c r="N17" s="22" t="inlineStr">
        <is>
          <t>Codex</t>
        </is>
      </c>
      <c r="O17" s="22" t="str"/>
      <c r="P17" s="22" t="str"/>
      <c r="Q17" s="22" t="inlineStr">
        <is>
          <t>2026-10-18</t>
        </is>
      </c>
      <c r="R17" s="28" t="str"/>
      <c r="S17" s="28" t="str"/>
      <c r="T17" s="22" t="inlineStr">
        <is>
          <t>REPO_REPORT</t>
        </is>
      </c>
      <c r="U17" s="22" t="inlineStr">
        <is>
          <t>No certifica decisiones con IA real.</t>
        </is>
      </c>
    </row>
    <row r="18" ht="31" customHeight="1" s="82">
      <c r="A18" s="26" t="inlineStr">
        <is>
          <t>TAP-013</t>
        </is>
      </c>
      <c r="B18" s="22" t="inlineStr">
        <is>
          <t>Agentes IA</t>
        </is>
      </c>
      <c r="C18" s="22" t="inlineStr">
        <is>
          <t>04 Foundation</t>
        </is>
      </c>
      <c r="D18" s="22" t="inlineStr">
        <is>
          <t>AI-BOTS-002</t>
        </is>
      </c>
      <c r="E18" s="22" t="inlineStr">
        <is>
          <t>BOT-CTX-01: control numérico, registro capacidades y runner</t>
        </is>
      </c>
      <c r="F18" s="22" t="inlineStr">
        <is>
          <t>VERIFICADO_FOCAL</t>
        </is>
      </c>
      <c r="G18" s="22" t="inlineStr">
        <is>
          <t>P0</t>
        </is>
      </c>
      <c r="H18" s="83" t="n">
        <v>1</v>
      </c>
      <c r="I18" s="22" t="n">
        <v>7</v>
      </c>
      <c r="J18" s="22" t="inlineStr">
        <is>
          <t>TAP-012</t>
        </is>
      </c>
      <c r="K18" s="22" t="inlineStr">
        <is>
          <t>Provider guion mock; 0 llamadas reales</t>
        </is>
      </c>
      <c r="L18" s="22" t="inlineStr">
        <is>
          <t>4dba317 / registry.py</t>
        </is>
      </c>
      <c r="M18" s="22" t="inlineStr">
        <is>
          <t>https://github.com/Extr3sao/bot_crypto/blob/agent/ai-vision/RFC-AI-VISION-001/src/trading_bot/intelligence/ai_bots/registry.py</t>
        </is>
      </c>
      <c r="N18" s="22" t="inlineStr">
        <is>
          <t>Codex</t>
        </is>
      </c>
      <c r="O18" s="22" t="str"/>
      <c r="P18" s="22" t="str"/>
      <c r="Q18" s="22" t="inlineStr">
        <is>
          <t>2026-10-18</t>
        </is>
      </c>
      <c r="R18" s="28" t="str"/>
      <c r="S18" s="28" t="str"/>
      <c r="T18" s="22" t="inlineStr">
        <is>
          <t>REPO_REPORT</t>
        </is>
      </c>
      <c r="U18" s="22" t="str"/>
    </row>
    <row r="19" ht="31" customHeight="1" s="82">
      <c r="A19" s="26" t="inlineStr">
        <is>
          <t>TAP-014</t>
        </is>
      </c>
      <c r="B19" s="22" t="inlineStr">
        <is>
          <t>Agentes IA</t>
        </is>
      </c>
      <c r="C19" s="22" t="inlineStr">
        <is>
          <t>04 Foundation</t>
        </is>
      </c>
      <c r="D19" s="22" t="inlineStr">
        <is>
          <t>AI-VISION-001 P0</t>
        </is>
      </c>
      <c r="E19" s="22" t="inlineStr">
        <is>
          <t>Hash imagen mismatch aborta; no falsa señal</t>
        </is>
      </c>
      <c r="F19" s="22" t="inlineStr">
        <is>
          <t>VERIFICADO_FOCAL</t>
        </is>
      </c>
      <c r="G19" s="22" t="inlineStr">
        <is>
          <t>P0</t>
        </is>
      </c>
      <c r="H19" s="83" t="n">
        <v>1</v>
      </c>
      <c r="I19" s="22" t="n">
        <v>7</v>
      </c>
      <c r="J19" s="22" t="inlineStr">
        <is>
          <t>TAP-012</t>
        </is>
      </c>
      <c r="K19" s="22" t="inlineStr">
        <is>
          <t>RED→GREEN 15/15 focales reportados</t>
        </is>
      </c>
      <c r="L19" s="22" t="inlineStr">
        <is>
          <t>e4db7da / vision lane tests</t>
        </is>
      </c>
      <c r="M19" s="22" t="inlineStr">
        <is>
          <t>https://github.com/Extr3sao/bot_crypto/tree/agent/ai-vision/RFC-AI-VISION-001/tests/unit/vision</t>
        </is>
      </c>
      <c r="N19" s="22" t="inlineStr">
        <is>
          <t>Codex</t>
        </is>
      </c>
      <c r="O19" s="22" t="str"/>
      <c r="P19" s="22" t="str"/>
      <c r="Q19" s="22" t="inlineStr">
        <is>
          <t>2026-10-18</t>
        </is>
      </c>
      <c r="R19" s="28" t="str"/>
      <c r="S19" s="28" t="str"/>
      <c r="T19" s="22" t="inlineStr">
        <is>
          <t>REPO_REPORT</t>
        </is>
      </c>
      <c r="U19" s="22" t="str"/>
    </row>
    <row r="20" ht="31" customHeight="1" s="82">
      <c r="A20" s="26" t="inlineStr">
        <is>
          <t>TAP-015</t>
        </is>
      </c>
      <c r="B20" s="22" t="inlineStr">
        <is>
          <t>Agentes IA</t>
        </is>
      </c>
      <c r="C20" s="22" t="inlineStr">
        <is>
          <t>09 Decision / critic</t>
        </is>
      </c>
      <c r="D20" s="22" t="inlineStr">
        <is>
          <t>AI-VISION-001 P0</t>
        </is>
      </c>
      <c r="E20" s="22" t="inlineStr">
        <is>
          <t>Comparador devuelve NOT_COMPARABLE para experimentos distintos</t>
        </is>
      </c>
      <c r="F20" s="22" t="inlineStr">
        <is>
          <t>VERIFICADO_FOCAL</t>
        </is>
      </c>
      <c r="G20" s="22" t="inlineStr">
        <is>
          <t>P0</t>
        </is>
      </c>
      <c r="H20" s="83" t="n">
        <v>1</v>
      </c>
      <c r="I20" s="22" t="n">
        <v>8</v>
      </c>
      <c r="J20" s="22" t="inlineStr">
        <is>
          <t>TAP-012</t>
        </is>
      </c>
      <c r="K20" s="22" t="inlineStr">
        <is>
          <t>Sin etiqueta VISION_ADDS_VALUE si inputs no comparables</t>
        </is>
      </c>
      <c r="L20" s="22" t="inlineStr">
        <is>
          <t>e4db7da / compare.py</t>
        </is>
      </c>
      <c r="M20" s="22" t="inlineStr">
        <is>
          <t>https://github.com/Extr3sao/bot_crypto/blob/agent/ai-vision/RFC-AI-VISION-001/src/trading_bot/vision/compare.py</t>
        </is>
      </c>
      <c r="N20" s="22" t="inlineStr">
        <is>
          <t>Codex</t>
        </is>
      </c>
      <c r="O20" s="22" t="str"/>
      <c r="P20" s="22" t="str"/>
      <c r="Q20" s="22" t="inlineStr">
        <is>
          <t>2026-10-18</t>
        </is>
      </c>
      <c r="R20" s="28" t="str"/>
      <c r="S20" s="28" t="str"/>
      <c r="T20" s="22" t="inlineStr">
        <is>
          <t>REPO_REPORT</t>
        </is>
      </c>
      <c r="U20" s="22" t="str"/>
    </row>
    <row r="21" ht="31" customHeight="1" s="82">
      <c r="A21" s="26" t="inlineStr">
        <is>
          <t>TAP-016</t>
        </is>
      </c>
      <c r="B21" s="22" t="inlineStr">
        <is>
          <t>Agentes IA</t>
        </is>
      </c>
      <c r="C21" s="22" t="inlineStr">
        <is>
          <t>09 Decision / critic</t>
        </is>
      </c>
      <c r="D21" s="22" t="inlineStr">
        <is>
          <t>AI-BOTS-003A</t>
        </is>
      </c>
      <c r="E21" s="22" t="inlineStr">
        <is>
          <t>Reloj PIT: cierre vela + data_delay; causal guards</t>
        </is>
      </c>
      <c r="F21" s="22" t="inlineStr">
        <is>
          <t>VERIFICADO_FOCAL</t>
        </is>
      </c>
      <c r="G21" s="22" t="inlineStr">
        <is>
          <t>P0</t>
        </is>
      </c>
      <c r="H21" s="83" t="n">
        <v>1</v>
      </c>
      <c r="I21" s="22" t="n">
        <v>9</v>
      </c>
      <c r="J21" s="22" t="inlineStr">
        <is>
          <t>TAP-012</t>
        </is>
      </c>
      <c r="K21" s="22" t="inlineStr">
        <is>
          <t>Clock real + 7 tests nuevos reportados</t>
        </is>
      </c>
      <c r="L21" s="22" t="inlineStr">
        <is>
          <t>2921f6d / BLOCK A</t>
        </is>
      </c>
      <c r="M21" s="22" t="inlineStr">
        <is>
          <t>https://github.com/Extr3sao/bot_crypto/tree/agent/ai-bots/RFC-TAP-AI-BOTS-003/src/trading_bot/vision</t>
        </is>
      </c>
      <c r="N21" s="22" t="inlineStr">
        <is>
          <t>Codex</t>
        </is>
      </c>
      <c r="O21" s="22" t="str"/>
      <c r="P21" s="22" t="str"/>
      <c r="Q21" s="22" t="inlineStr">
        <is>
          <t>2026-10-18</t>
        </is>
      </c>
      <c r="R21" s="28" t="str"/>
      <c r="S21" s="28" t="str"/>
      <c r="T21" s="22" t="inlineStr">
        <is>
          <t>REPO_REPORT</t>
        </is>
      </c>
      <c r="U21" s="22" t="str"/>
    </row>
    <row r="22" ht="31" customHeight="1" s="82">
      <c r="A22" s="26" t="inlineStr">
        <is>
          <t>TAP-017</t>
        </is>
      </c>
      <c r="B22" s="22" t="inlineStr">
        <is>
          <t>Agentes IA</t>
        </is>
      </c>
      <c r="C22" s="22" t="inlineStr">
        <is>
          <t>10 Risk / Portfolio</t>
        </is>
      </c>
      <c r="D22" s="22" t="inlineStr">
        <is>
          <t>AI-BOTS-003A</t>
        </is>
      </c>
      <c r="E22" s="22" t="inlineStr">
        <is>
          <t>Sincronizar RiskManager equity MTM con PaperBroker</t>
        </is>
      </c>
      <c r="F22" s="22" t="inlineStr">
        <is>
          <t>VERIFICADO_FOCAL</t>
        </is>
      </c>
      <c r="G22" s="22" t="inlineStr">
        <is>
          <t>P0</t>
        </is>
      </c>
      <c r="H22" s="83" t="n">
        <v>1</v>
      </c>
      <c r="I22" s="22" t="n">
        <v>9</v>
      </c>
      <c r="J22" s="22" t="inlineStr">
        <is>
          <t>TAP-016</t>
        </is>
      </c>
      <c r="K22" s="22" t="inlineStr">
        <is>
          <t>Pruebas de parity sobre runtime mismo</t>
        </is>
      </c>
      <c r="L22" s="22" t="inlineStr">
        <is>
          <t>2921f6d / test_causal_clock</t>
        </is>
      </c>
      <c r="M22" s="22" t="inlineStr">
        <is>
          <t>https://github.com/Extr3sao/bot_crypto/blob/agent/ai-bots/RFC-TAP-AI-BOTS-003/tests/unit/vision/test_causal_clock.py</t>
        </is>
      </c>
      <c r="N22" s="22" t="inlineStr">
        <is>
          <t>Codex</t>
        </is>
      </c>
      <c r="O22" s="22" t="str"/>
      <c r="P22" s="22" t="str"/>
      <c r="Q22" s="22" t="inlineStr">
        <is>
          <t>2026-10-18</t>
        </is>
      </c>
      <c r="R22" s="28" t="str"/>
      <c r="S22" s="28" t="str"/>
      <c r="T22" s="22" t="inlineStr">
        <is>
          <t>REPO_REPORT</t>
        </is>
      </c>
      <c r="U22" s="22" t="str"/>
    </row>
    <row r="23" ht="31" customHeight="1" s="82">
      <c r="A23" s="26" t="inlineStr">
        <is>
          <t>TAP-018</t>
        </is>
      </c>
      <c r="B23" s="22" t="inlineStr">
        <is>
          <t>Agentes IA</t>
        </is>
      </c>
      <c r="C23" s="22" t="inlineStr">
        <is>
          <t>14 Paper</t>
        </is>
      </c>
      <c r="D23" s="22" t="inlineStr">
        <is>
          <t>AI-BOTS-003B</t>
        </is>
      </c>
      <c r="E23" s="22" t="inlineStr">
        <is>
          <t>Precio de primera apertura posterior a respuesta (replay causal 1h)</t>
        </is>
      </c>
      <c r="F23" s="22" t="inlineStr">
        <is>
          <t>VERIFICADO_FOCAL</t>
        </is>
      </c>
      <c r="G23" s="22" t="inlineStr">
        <is>
          <t>P0</t>
        </is>
      </c>
      <c r="H23" s="83" t="n">
        <v>1</v>
      </c>
      <c r="I23" s="22" t="n">
        <v>10</v>
      </c>
      <c r="J23" s="22" t="inlineStr">
        <is>
          <t>TAP-016</t>
        </is>
      </c>
      <c r="K23" s="22" t="inlineStr">
        <is>
          <t>293 tests focales; 21 checks por bot, 10 mutaciones por bot</t>
        </is>
      </c>
      <c r="L23" s="22" t="inlineStr">
        <is>
          <t>ffbc0ca / BLOCK-B FINAL_REPORT</t>
        </is>
      </c>
      <c r="M23" s="22" t="inlineStr">
        <is>
          <t>https://github.com/Extr3sao/bot_crypto/blob/agent/ai-bots/RFC-TAP-AI-BOTS-003/reports/ai-bots/RFC-AI-BOTS-003/BLOCK-B/FINAL_REPORT.md</t>
        </is>
      </c>
      <c r="N23" s="22" t="inlineStr">
        <is>
          <t>Codex</t>
        </is>
      </c>
      <c r="O23" s="22" t="str"/>
      <c r="P23" s="22" t="str"/>
      <c r="Q23" s="22" t="inlineStr">
        <is>
          <t>2026-10-18</t>
        </is>
      </c>
      <c r="R23" s="28" t="str"/>
      <c r="S23" s="28" t="str"/>
      <c r="T23" s="22" t="inlineStr">
        <is>
          <t>REPO_REPORT</t>
        </is>
      </c>
      <c r="U23" s="22" t="inlineStr">
        <is>
          <t>La latencia de 900ms en 1h fuerza espera de casi 1h; no equivale a live tick.</t>
        </is>
      </c>
    </row>
    <row r="24" ht="31" customHeight="1" s="82">
      <c r="A24" s="26" t="inlineStr">
        <is>
          <t>TAP-019</t>
        </is>
      </c>
      <c r="B24" s="22" t="inlineStr">
        <is>
          <t>Agentes IA</t>
        </is>
      </c>
      <c r="C24" s="22" t="inlineStr">
        <is>
          <t>10 Risk / Portfolio</t>
        </is>
      </c>
      <c r="D24" s="22" t="inlineStr">
        <is>
          <t>AI-BOTS-003B</t>
        </is>
      </c>
      <c r="E24" s="22" t="inlineStr">
        <is>
          <t>Stops intrabar, gap conservador, reconciliación neta</t>
        </is>
      </c>
      <c r="F24" s="22" t="inlineStr">
        <is>
          <t>VERIFICADO_FOCAL</t>
        </is>
      </c>
      <c r="G24" s="22" t="inlineStr">
        <is>
          <t>P0</t>
        </is>
      </c>
      <c r="H24" s="83" t="n">
        <v>1</v>
      </c>
      <c r="I24" s="22" t="n">
        <v>10</v>
      </c>
      <c r="J24" s="22" t="inlineStr">
        <is>
          <t>TAP-018</t>
        </is>
      </c>
      <c r="K24" s="22" t="inlineStr">
        <is>
          <t>14 cierres mock por bot, 0 edge</t>
        </is>
      </c>
      <c r="L24" s="22" t="inlineStr">
        <is>
          <t>ffbc0ca / BLOCK-B WP_RUN_REPORT.json</t>
        </is>
      </c>
      <c r="M24" s="22" t="inlineStr">
        <is>
          <t>https://github.com/Extr3sao/bot_crypto/blob/agent/ai-bots/RFC-TAP-AI-BOTS-003/reports/ai-bots/RFC-AI-BOTS-003/BLOCK-B/WP_RUN_REPORT.json</t>
        </is>
      </c>
      <c r="N24" s="22" t="inlineStr">
        <is>
          <t>Codex</t>
        </is>
      </c>
      <c r="O24" s="22" t="str"/>
      <c r="P24" s="22" t="str"/>
      <c r="Q24" s="22" t="inlineStr">
        <is>
          <t>2026-10-18</t>
        </is>
      </c>
      <c r="R24" s="28" t="str"/>
      <c r="S24" s="28" t="str"/>
      <c r="T24" s="22" t="inlineStr">
        <is>
          <t>REPO_REPORT</t>
        </is>
      </c>
      <c r="U24" s="22" t="str"/>
    </row>
    <row r="25" ht="31" customHeight="1" s="82">
      <c r="A25" s="26" t="inlineStr">
        <is>
          <t>TAP-020</t>
        </is>
      </c>
      <c r="B25" s="22" t="inlineStr">
        <is>
          <t>Agentes IA</t>
        </is>
      </c>
      <c r="C25" s="22" t="inlineStr">
        <is>
          <t>10 Risk / Portfolio</t>
        </is>
      </c>
      <c r="D25" s="22" t="inlineStr">
        <is>
          <t>AI-BOTS-003C</t>
        </is>
      </c>
      <c r="E25" s="22" t="inlineStr">
        <is>
          <t>OPEN gap stops antes de nuevas entradas, mark equity correcto</t>
        </is>
      </c>
      <c r="F25" s="22" t="inlineStr">
        <is>
          <t>VERIFICADO_FOCAL</t>
        </is>
      </c>
      <c r="G25" s="22" t="inlineStr">
        <is>
          <t>P0</t>
        </is>
      </c>
      <c r="H25" s="83" t="n">
        <v>1</v>
      </c>
      <c r="I25" s="22" t="n">
        <v>11</v>
      </c>
      <c r="J25" s="22" t="inlineStr">
        <is>
          <t>TAP-019</t>
        </is>
      </c>
      <c r="K25" s="22" t="inlineStr">
        <is>
          <t>459 tests suites afectadas; 120 checks en 5 escenarios</t>
        </is>
      </c>
      <c r="L25" s="22" t="inlineStr">
        <is>
          <t>86d4f12 motor · 0841d37 cierre/recibos</t>
        </is>
      </c>
      <c r="M25" s="22" t="inlineStr">
        <is>
          <t>https://github.com/Extr3sao/bot_crypto/blob/agent/ai-bots/RFC-TAP-AI-BOTS-003/reports/ai-bots/RFC-AI-BOTS-003/BLOCK-C/FINAL_REPORT.md</t>
        </is>
      </c>
      <c r="N25" s="22" t="inlineStr">
        <is>
          <t>Codex</t>
        </is>
      </c>
      <c r="O25" s="22" t="str"/>
      <c r="P25" s="22" t="str"/>
      <c r="Q25" s="22" t="inlineStr">
        <is>
          <t>2026-10-18</t>
        </is>
      </c>
      <c r="R25" s="28" t="str"/>
      <c r="S25" s="28" t="str"/>
      <c r="T25" s="22" t="inlineStr">
        <is>
          <t>REPO_REPORT</t>
        </is>
      </c>
      <c r="U25" s="22" t="inlineStr">
        <is>
          <t>Gaps OPEN antes de nuevas entradas. Caso sintético sí; datos reales sin gap OPEN &gt;2%. 459 tests focalizados comunicados; sin modelo real. Reproducibilidad de captura revalidada hasta 0841d37.</t>
        </is>
      </c>
    </row>
    <row r="26" ht="31" customHeight="1" s="82">
      <c r="A26" s="26" t="inlineStr">
        <is>
          <t>TAP-021</t>
        </is>
      </c>
      <c r="B26" s="22" t="inlineStr">
        <is>
          <t>Agentes IA</t>
        </is>
      </c>
      <c r="C26" s="22" t="inlineStr">
        <is>
          <t>07 Asset Intelligence</t>
        </is>
      </c>
      <c r="D26" s="22" t="inlineStr">
        <is>
          <t>AI-BOTS-003C</t>
        </is>
      </c>
      <c r="E26" s="22" t="inlineStr">
        <is>
          <t>Frescura/gaps cobertura/QuoteFeed y no false-price</t>
        </is>
      </c>
      <c r="F26" s="22" t="inlineStr">
        <is>
          <t>VERIFICADO_FOCAL</t>
        </is>
      </c>
      <c r="G26" s="22" t="inlineStr">
        <is>
          <t>P0</t>
        </is>
      </c>
      <c r="H26" s="83" t="n">
        <v>1</v>
      </c>
      <c r="I26" s="22" t="n">
        <v>11</v>
      </c>
      <c r="J26" s="22" t="inlineStr">
        <is>
          <t>TAP-020</t>
        </is>
      </c>
      <c r="K26" s="22" t="inlineStr">
        <is>
          <t>53 mutaciones detectadas / 12 omitidas por diseño</t>
        </is>
      </c>
      <c r="L26" s="22" t="inlineStr">
        <is>
          <t>0841d37 · COVERAGE_LEDGER + series_sha256</t>
        </is>
      </c>
      <c r="M26" s="22" t="inlineStr">
        <is>
          <t>https://github.com/Extr3sao/bot_crypto/blob/agent/ai-bots/RFC-TAP-AI-BOTS-003/reports/ai-bots/RFC-AI-BOTS-003/BLOCK-C/CAPTURE.json</t>
        </is>
      </c>
      <c r="N26" s="22" t="inlineStr">
        <is>
          <t>Codex</t>
        </is>
      </c>
      <c r="O26" s="22" t="str"/>
      <c r="P26" s="22" t="str"/>
      <c r="Q26" s="22" t="inlineStr">
        <is>
          <t>2026-10-18</t>
        </is>
      </c>
      <c r="R26" s="28" t="str"/>
      <c r="S26" s="28" t="str"/>
      <c r="T26" s="22" t="inlineStr">
        <is>
          <t>REPO_REPORT</t>
        </is>
      </c>
      <c r="U26" s="22" t="inlineStr">
        <is>
          <t>Cov proof, DATA_GAP fail-closed; digest de barras consumidas. 53/53 mutaciones aplicadas detectadas; otras 12 omitidas por diseño.</t>
        </is>
      </c>
    </row>
    <row r="27" ht="31" customHeight="1" s="82">
      <c r="A27" s="26" t="inlineStr">
        <is>
          <t>TAP-022</t>
        </is>
      </c>
      <c r="B27" s="22" t="inlineStr">
        <is>
          <t>Agentes IA</t>
        </is>
      </c>
      <c r="C27" s="22" t="inlineStr">
        <is>
          <t>12 Observabilidad</t>
        </is>
      </c>
      <c r="D27" s="22" t="inlineStr">
        <is>
          <t>AI-BOTS-003C</t>
        </is>
      </c>
      <c r="E27" s="22" t="inlineStr">
        <is>
          <t>Publicación y verificación desde git archive clean</t>
        </is>
      </c>
      <c r="F27" s="22" t="inlineStr">
        <is>
          <t>VERIFICADO_FOCAL</t>
        </is>
      </c>
      <c r="G27" s="22" t="inlineStr">
        <is>
          <t>P0</t>
        </is>
      </c>
      <c r="H27" s="83" t="n">
        <v>1</v>
      </c>
      <c r="I27" s="22" t="n">
        <v>12</v>
      </c>
      <c r="J27" s="22" t="inlineStr">
        <is>
          <t>TAP-020</t>
        </is>
      </c>
      <c r="K27" s="22" t="inlineStr">
        <is>
          <t>Reporte: 24 checks + 19 tests de archive para commit motor 86d4f12; captura regenerada 120 checks y 53/53 mutaciones tras fix --bars=1000. Suite global NO repetida.</t>
        </is>
      </c>
      <c r="L27" s="22" t="inlineStr">
        <is>
          <t>0841d37 · CLEAN_ARCHIVE.json / series_sha256</t>
        </is>
      </c>
      <c r="M27" s="22" t="inlineStr">
        <is>
          <t>https://github.com/Extr3sao/bot_crypto/blob/agent/ai-bots/RFC-TAP-AI-BOTS-003/reports/ai-bots/RFC-AI-BOTS-003/BLOCK-C/evidence/CLEAN_ARCHIVE.json</t>
        </is>
      </c>
      <c r="N27" s="22" t="inlineStr">
        <is>
          <t>Codex</t>
        </is>
      </c>
      <c r="O27" s="22" t="str"/>
      <c r="P27" s="22" t="str"/>
      <c r="Q27" s="22" t="inlineStr">
        <is>
          <t>2026-10-18</t>
        </is>
      </c>
      <c r="R27" s="28" t="inlineStr">
        <is>
          <t>Ejecutar clean-clone suite completa antes de certificar runtime global.</t>
        </is>
      </c>
      <c r="S27" s="28" t="str"/>
      <c r="T27" s="22" t="inlineStr">
        <is>
          <t>REPO_REPORT</t>
        </is>
      </c>
      <c r="U27" s="22" t="inlineStr">
        <is>
          <t>Commits 86d4f12 (motor), eeb0bea (informe), 0841d37 (pin serie y reproducibilidad). El archivo de evidencia documenta equivalencia; los 459 tests no se reejecutaron tras cambios solo de captura/informes.</t>
        </is>
      </c>
    </row>
    <row r="28" ht="31" customHeight="1" s="82">
      <c r="A28" s="26" t="inlineStr">
        <is>
          <t>TAP-023</t>
        </is>
      </c>
      <c r="B28" s="22" t="inlineStr">
        <is>
          <t>Agentes IA</t>
        </is>
      </c>
      <c r="C28" s="22" t="inlineStr">
        <is>
          <t>05 Communication</t>
        </is>
      </c>
      <c r="D28" s="22" t="inlineStr">
        <is>
          <t>AI-BOTS-003D</t>
        </is>
      </c>
      <c r="E28" s="22" t="inlineStr">
        <is>
          <t>Receipts proveedor: id auténtico, error, retries, coste por intento</t>
        </is>
      </c>
      <c r="F28" s="22" t="inlineStr">
        <is>
          <t>PENDIENTE</t>
        </is>
      </c>
      <c r="G28" s="22" t="inlineStr">
        <is>
          <t>P0</t>
        </is>
      </c>
      <c r="H28" s="83" t="n">
        <v>0</v>
      </c>
      <c r="I28" s="22" t="n">
        <v>15</v>
      </c>
      <c r="J28" s="22" t="inlineStr">
        <is>
          <t>TAP-020</t>
        </is>
      </c>
      <c r="K28" s="22" t="inlineStr">
        <is>
          <t>GATE: recibo real ≠ id fabricado</t>
        </is>
      </c>
      <c r="L28" s="22" t="inlineStr">
        <is>
          <t>Issue #12</t>
        </is>
      </c>
      <c r="M28" s="22" t="inlineStr">
        <is>
          <t>https://github.com/Extr3sao/bot_crypto/issues/12</t>
        </is>
      </c>
      <c r="N28" s="22" t="inlineStr">
        <is>
          <t>Codex</t>
        </is>
      </c>
      <c r="O28" s="22" t="str"/>
      <c r="P28" s="22" t="str"/>
      <c r="Q28" s="22" t="inlineStr">
        <is>
          <t>2026-10-18</t>
        </is>
      </c>
      <c r="R28" s="28" t="inlineStr">
        <is>
          <t>Preparar offline provider y políticas de presupuesto/reintentos; no API pagada.</t>
        </is>
      </c>
      <c r="S28" s="28" t="str"/>
      <c r="T28" s="22" t="inlineStr">
        <is>
          <t>REPO_REPORT</t>
        </is>
      </c>
      <c r="U28" s="22" t="inlineStr">
        <is>
          <t>P0 siguiente bloque técnico: credenciales por env, recibos reales, errores, presupuesto y retries sin costes.</t>
        </is>
      </c>
    </row>
    <row r="29" ht="31" customHeight="1" s="82">
      <c r="A29" s="26" t="inlineStr">
        <is>
          <t>TAP-024</t>
        </is>
      </c>
      <c r="B29" s="22" t="inlineStr">
        <is>
          <t>Agentes IA</t>
        </is>
      </c>
      <c r="C29" s="22" t="inlineStr">
        <is>
          <t>07 Asset Intelligence</t>
        </is>
      </c>
      <c r="D29" s="22" t="inlineStr">
        <is>
          <t>AI-BOTS-003E</t>
        </is>
      </c>
      <c r="E29" s="22" t="inlineStr">
        <is>
          <t>Colección prospectiva de cotizaciones sub-vela 1m/tick con timestamps</t>
        </is>
      </c>
      <c r="F29" s="22" t="inlineStr">
        <is>
          <t>PENDIENTE</t>
        </is>
      </c>
      <c r="G29" s="22" t="inlineStr">
        <is>
          <t>P0</t>
        </is>
      </c>
      <c r="H29" s="83" t="n">
        <v>0.05</v>
      </c>
      <c r="I29" s="22" t="n">
        <v>16</v>
      </c>
      <c r="J29" s="22" t="inlineStr">
        <is>
          <t>TAP-021</t>
        </is>
      </c>
      <c r="K29" s="22" t="inlineStr">
        <is>
          <t>GATE: data_time &lt;= decision_time &lt;= quote_time; observable_at</t>
        </is>
      </c>
      <c r="L29" s="22" t="inlineStr">
        <is>
          <t>Issue #12</t>
        </is>
      </c>
      <c r="M29" s="22" t="inlineStr">
        <is>
          <t>https://github.com/Extr3sao/bot_crypto/issues/12</t>
        </is>
      </c>
      <c r="N29" s="22" t="inlineStr">
        <is>
          <t>Codex</t>
        </is>
      </c>
      <c r="O29" s="22" t="str"/>
      <c r="P29" s="22" t="str"/>
      <c r="Q29" s="22" t="inlineStr">
        <is>
          <t>2026-10-18</t>
        </is>
      </c>
      <c r="R29" s="28" t="inlineStr">
        <is>
          <t>Preflight disco y diseño feed; no inventar fill intrabar.</t>
        </is>
      </c>
      <c r="S29" s="28" t="inlineStr">
        <is>
          <t>Datos 1h no miden ejecución sub-minuto; scheduler sin autorización.</t>
        </is>
      </c>
      <c r="T29" s="22" t="inlineStr">
        <is>
          <t>REPO_REPORT</t>
        </is>
      </c>
      <c r="U29" s="22" t="str"/>
    </row>
    <row r="30" ht="31" customHeight="1" s="82">
      <c r="A30" s="26" t="inlineStr">
        <is>
          <t>TAP-025</t>
        </is>
      </c>
      <c r="B30" s="22" t="inlineStr">
        <is>
          <t>Agentes IA</t>
        </is>
      </c>
      <c r="C30" s="22" t="inlineStr">
        <is>
          <t>14 Paper</t>
        </is>
      </c>
      <c r="D30" s="22" t="inlineStr">
        <is>
          <t>AI-BOTS-003F</t>
        </is>
      </c>
      <c r="E30" s="22" t="inlineStr">
        <is>
          <t>1 smoke real multimodal VIS/CTX con recibos y presupuesto</t>
        </is>
      </c>
      <c r="F30" s="22" t="inlineStr">
        <is>
          <t>BLOQUEADO</t>
        </is>
      </c>
      <c r="G30" s="22" t="inlineStr">
        <is>
          <t>P0</t>
        </is>
      </c>
      <c r="H30" s="83" t="n">
        <v>0</v>
      </c>
      <c r="I30" s="22" t="n">
        <v>23</v>
      </c>
      <c r="J30" s="22" t="inlineStr">
        <is>
          <t>TAP-023; TAP-024</t>
        </is>
      </c>
      <c r="K30" s="22" t="inlineStr">
        <is>
          <t>GATE: clave local segura + aprobación explícita gasto</t>
        </is>
      </c>
      <c r="L30" s="22" t="inlineStr">
        <is>
          <t>Issue #12</t>
        </is>
      </c>
      <c r="M30" s="22" t="inlineStr">
        <is>
          <t>https://github.com/Extr3sao/bot_crypto/issues/12</t>
        </is>
      </c>
      <c r="N30" s="22" t="inlineStr">
        <is>
          <t>Usuario (autorización) + Codex</t>
        </is>
      </c>
      <c r="O30" s="22" t="str"/>
      <c r="P30" s="22" t="str"/>
      <c r="Q30" s="22" t="inlineStr">
        <is>
          <t>2026-10-18</t>
        </is>
      </c>
      <c r="R30" s="28" t="inlineStr">
        <is>
          <t>Solicitar solo cuando setup offline, risk y receipts estén listos.</t>
        </is>
      </c>
      <c r="S30" s="28" t="inlineStr">
        <is>
          <t>REAL_MODEL_CALLED=false; sin autorización coste/credencial.</t>
        </is>
      </c>
      <c r="T30" s="22" t="inlineStr">
        <is>
          <t>REPO_REPORT</t>
        </is>
      </c>
      <c r="U30" s="22" t="str"/>
    </row>
    <row r="31" ht="31" customHeight="1" s="82">
      <c r="A31" s="26" t="inlineStr">
        <is>
          <t>TAP-026</t>
        </is>
      </c>
      <c r="B31" s="22" t="inlineStr">
        <is>
          <t>Agentes IA</t>
        </is>
      </c>
      <c r="C31" s="22" t="inlineStr">
        <is>
          <t>15 Shadow / Canary</t>
        </is>
      </c>
      <c r="D31" s="22" t="inlineStr">
        <is>
          <t>AI-BOTS-003G</t>
        </is>
      </c>
      <c r="E31" s="22" t="inlineStr">
        <is>
          <t>Prueba prospectiva A/B VIS vs CTX vs CURRENT vs CASH</t>
        </is>
      </c>
      <c r="F31" s="22" t="inlineStr">
        <is>
          <t>BLOQUEADO</t>
        </is>
      </c>
      <c r="G31" s="22" t="inlineStr">
        <is>
          <t>P0</t>
        </is>
      </c>
      <c r="H31" s="83" t="n">
        <v>0</v>
      </c>
      <c r="I31" s="22" t="n">
        <v>30</v>
      </c>
      <c r="J31" s="22" t="inlineStr">
        <is>
          <t>TAP-025; TAP-024</t>
        </is>
      </c>
      <c r="K31" s="22" t="inlineStr">
        <is>
          <t>Mismas oportunidades, capital, coste, latency, sin hindsight</t>
        </is>
      </c>
      <c r="L31" s="22" t="inlineStr">
        <is>
          <t>Issue #12</t>
        </is>
      </c>
      <c r="M31" s="22" t="inlineStr">
        <is>
          <t>https://github.com/Extr3sao/bot_crypto/issues/12</t>
        </is>
      </c>
      <c r="N31" s="22" t="inlineStr">
        <is>
          <t>Codex</t>
        </is>
      </c>
      <c r="O31" s="22" t="str"/>
      <c r="P31" s="22" t="str"/>
      <c r="Q31" s="22" t="inlineStr">
        <is>
          <t>2026-10-18</t>
        </is>
      </c>
      <c r="R31" s="28" t="inlineStr">
        <is>
          <t>Congelar spec antes de OOS; almacenar decisiones reales.</t>
        </is>
      </c>
      <c r="S31" s="28" t="inlineStr">
        <is>
          <t>No receipts reales, sin muestras forward suficientes.</t>
        </is>
      </c>
      <c r="T31" s="22" t="inlineStr">
        <is>
          <t>REPO_REPORT</t>
        </is>
      </c>
      <c r="U31" s="22" t="str"/>
    </row>
    <row r="32" ht="31" customHeight="1" s="82">
      <c r="A32" s="26" t="inlineStr">
        <is>
          <t>TAP-027</t>
        </is>
      </c>
      <c r="B32" s="22" t="inlineStr">
        <is>
          <t>Agentes IA</t>
        </is>
      </c>
      <c r="C32" s="22" t="inlineStr">
        <is>
          <t>09 Decision / critic</t>
        </is>
      </c>
      <c r="D32" s="22" t="inlineStr">
        <is>
          <t>AI-BOTS-004</t>
        </is>
      </c>
      <c r="E32" s="22" t="inlineStr">
        <is>
          <t>Registro/prompt RFC crítico BOT-CRI-01 en SHADOW</t>
        </is>
      </c>
      <c r="F32" s="22" t="inlineStr">
        <is>
          <t>PROPUESTO</t>
        </is>
      </c>
      <c r="G32" s="22" t="inlineStr">
        <is>
          <t>P1</t>
        </is>
      </c>
      <c r="H32" s="83" t="n">
        <v>0</v>
      </c>
      <c r="I32" s="22" t="n">
        <v>18</v>
      </c>
      <c r="J32" s="22" t="inlineStr">
        <is>
          <t>TAP-020</t>
        </is>
      </c>
      <c r="K32" s="22" t="inlineStr">
        <is>
          <t>Por defecto deshabilitado; no gate de entrada aún</t>
        </is>
      </c>
      <c r="L32" s="22" t="inlineStr">
        <is>
          <t>Issue #14 / RFC 004</t>
        </is>
      </c>
      <c r="M32" s="22" t="inlineStr">
        <is>
          <t>https://github.com/Extr3sao/bot_crypto/issues/14</t>
        </is>
      </c>
      <c r="N32" s="22" t="inlineStr">
        <is>
          <t>Codex</t>
        </is>
      </c>
      <c r="O32" s="22" t="str"/>
      <c r="P32" s="22" t="str"/>
      <c r="Q32" s="22" t="inlineStr">
        <is>
          <t>2026-10-18</t>
        </is>
      </c>
      <c r="R32" s="28" t="inlineStr">
        <is>
          <t>Crear rama aislada; ejecutar fases REA + Python instrumentado offline.</t>
        </is>
      </c>
      <c r="S32" s="28" t="str"/>
      <c r="T32" s="22" t="inlineStr">
        <is>
          <t>REPO_REPORT</t>
        </is>
      </c>
      <c r="U32" s="22" t="str"/>
    </row>
    <row r="33" ht="31" customHeight="1" s="82">
      <c r="A33" s="26" t="inlineStr">
        <is>
          <t>TAP-028</t>
        </is>
      </c>
      <c r="B33" s="22" t="inlineStr">
        <is>
          <t>Agentes IA</t>
        </is>
      </c>
      <c r="C33" s="22" t="inlineStr">
        <is>
          <t>01 Research</t>
        </is>
      </c>
      <c r="D33" s="22" t="inlineStr">
        <is>
          <t>AI-BOTS-004/REA</t>
        </is>
      </c>
      <c r="E33" s="22" t="inlineStr">
        <is>
          <t>Auditar TradingAgents repo fijado Apache-2.0: HTML con REA + Python real</t>
        </is>
      </c>
      <c r="F33" s="22" t="inlineStr">
        <is>
          <t>PENDIENTE</t>
        </is>
      </c>
      <c r="G33" s="22" t="inlineStr">
        <is>
          <t>P1</t>
        </is>
      </c>
      <c r="H33" s="83" t="n">
        <v>0</v>
      </c>
      <c r="I33" s="22" t="n">
        <v>14</v>
      </c>
      <c r="J33" s="22" t="inlineStr">
        <is>
          <t>TAP-008</t>
        </is>
      </c>
      <c r="K33" s="22" t="inlineStr">
        <is>
          <t>REA sobre HTML solo UI, backend Python instrumentado distinto</t>
        </is>
      </c>
      <c r="L33" s="22" t="inlineStr">
        <is>
          <t>Issue #14 / upstream e8f5503</t>
        </is>
      </c>
      <c r="M33" s="22" t="inlineStr">
        <is>
          <t>https://github.com/Extr3sao/bot_crypto/issues/14</t>
        </is>
      </c>
      <c r="N33" s="22" t="inlineStr">
        <is>
          <t>Codex</t>
        </is>
      </c>
      <c r="O33" s="22" t="str"/>
      <c r="P33" s="22" t="str"/>
      <c r="Q33" s="22" t="inlineStr">
        <is>
          <t>2026-10-18</t>
        </is>
      </c>
      <c r="R33" s="28" t="inlineStr">
        <is>
          <t>Ejecutar REA CLI sobre reporte generado por mismo upstream; ensayos fake LLM sin red.</t>
        </is>
      </c>
      <c r="S33" s="28" t="str"/>
      <c r="T33" s="22" t="inlineStr">
        <is>
          <t>REPO_REPORT</t>
        </is>
      </c>
      <c r="U33" s="22" t="str"/>
    </row>
    <row r="34" ht="31" customHeight="1" s="82">
      <c r="A34" s="26" t="inlineStr">
        <is>
          <t>TAP-029</t>
        </is>
      </c>
      <c r="B34" s="22" t="inlineStr">
        <is>
          <t>Agentes IA</t>
        </is>
      </c>
      <c r="C34" s="22" t="inlineStr">
        <is>
          <t>05 Communication</t>
        </is>
      </c>
      <c r="D34" s="22" t="inlineStr">
        <is>
          <t>AI-BOTS-004</t>
        </is>
      </c>
      <c r="E34" s="22" t="inlineStr">
        <is>
          <t>CriticReview tipado: ACCEPT/CHALLENGE/ABSTAIN; evidencia y refutación</t>
        </is>
      </c>
      <c r="F34" s="22" t="inlineStr">
        <is>
          <t>PENDIENTE</t>
        </is>
      </c>
      <c r="G34" s="22" t="inlineStr">
        <is>
          <t>P1</t>
        </is>
      </c>
      <c r="H34" s="83" t="n">
        <v>0</v>
      </c>
      <c r="I34" s="22" t="n">
        <v>19</v>
      </c>
      <c r="J34" s="22" t="inlineStr">
        <is>
          <t>TAP-028</t>
        </is>
      </c>
      <c r="K34" s="22" t="inlineStr">
        <is>
          <t>LLM no sizing/stop/leverage/risk/ejecución</t>
        </is>
      </c>
      <c r="L34" s="22" t="inlineStr">
        <is>
          <t>Issue #14</t>
        </is>
      </c>
      <c r="M34" s="22" t="inlineStr">
        <is>
          <t>https://github.com/Extr3sao/bot_crypto/issues/14</t>
        </is>
      </c>
      <c r="N34" s="22" t="inlineStr">
        <is>
          <t>Codex</t>
        </is>
      </c>
      <c r="O34" s="22" t="str"/>
      <c r="P34" s="22" t="str"/>
      <c r="Q34" s="22" t="inlineStr">
        <is>
          <t>2026-10-18</t>
        </is>
      </c>
      <c r="R34" s="28" t="inlineStr">
        <is>
          <t>Tests schema, injected adversarial, veto no vacuo.</t>
        </is>
      </c>
      <c r="S34" s="28" t="str"/>
      <c r="T34" s="22" t="inlineStr">
        <is>
          <t>REPO_REPORT</t>
        </is>
      </c>
      <c r="U34" s="22" t="str"/>
    </row>
    <row r="35" ht="31" customHeight="1" s="82">
      <c r="A35" s="26" t="inlineStr">
        <is>
          <t>TAP-030</t>
        </is>
      </c>
      <c r="B35" s="22" t="inlineStr">
        <is>
          <t>Agentes IA</t>
        </is>
      </c>
      <c r="C35" s="22" t="inlineStr">
        <is>
          <t>15 Shadow / Canary</t>
        </is>
      </c>
      <c r="D35" s="22" t="inlineStr">
        <is>
          <t>AI-BOTS-004 SHADOW</t>
        </is>
      </c>
      <c r="E35" s="22" t="inlineStr">
        <is>
          <t>BOT-CRI-01 monitor sin modificar trades ni PnL</t>
        </is>
      </c>
      <c r="F35" s="22" t="inlineStr">
        <is>
          <t>PENDIENTE</t>
        </is>
      </c>
      <c r="G35" s="22" t="inlineStr">
        <is>
          <t>P1</t>
        </is>
      </c>
      <c r="H35" s="83" t="n">
        <v>0</v>
      </c>
      <c r="I35" s="22" t="n">
        <v>20</v>
      </c>
      <c r="J35" s="22" t="inlineStr">
        <is>
          <t>TAP-029; TAP-020</t>
        </is>
      </c>
      <c r="K35" s="22" t="inlineStr">
        <is>
          <t>Shadow parity bit-exact con/sin crítico</t>
        </is>
      </c>
      <c r="L35" s="22" t="inlineStr">
        <is>
          <t>Issue #14</t>
        </is>
      </c>
      <c r="M35" s="22" t="inlineStr">
        <is>
          <t>https://github.com/Extr3sao/bot_crypto/issues/14</t>
        </is>
      </c>
      <c r="N35" s="22" t="inlineStr">
        <is>
          <t>Codex</t>
        </is>
      </c>
      <c r="O35" s="22" t="str"/>
      <c r="P35" s="22" t="str"/>
      <c r="Q35" s="22" t="inlineStr">
        <is>
          <t>2026-10-18</t>
        </is>
      </c>
      <c r="R35" s="28" t="inlineStr">
        <is>
          <t>Conectar sin activar gate paper ni mercado live.</t>
        </is>
      </c>
      <c r="S35" s="28" t="str"/>
      <c r="T35" s="22" t="inlineStr">
        <is>
          <t>REPO_REPORT</t>
        </is>
      </c>
      <c r="U35" s="22" t="str"/>
    </row>
    <row r="36" ht="31" customHeight="1" s="82">
      <c r="A36" s="26" t="inlineStr">
        <is>
          <t>TAP-031</t>
        </is>
      </c>
      <c r="B36" s="22" t="inlineStr">
        <is>
          <t>Agentes IA</t>
        </is>
      </c>
      <c r="C36" s="22" t="inlineStr">
        <is>
          <t>09 Decision / critic</t>
        </is>
      </c>
      <c r="D36" s="22" t="inlineStr">
        <is>
          <t>AI-BOTS-004 GATED</t>
        </is>
      </c>
      <c r="E36" s="22" t="inlineStr">
        <is>
          <t>Habilitar veto solo nuevas entradas paper si aporta utilidad</t>
        </is>
      </c>
      <c r="F36" s="22" t="inlineStr">
        <is>
          <t>BLOQUEADO</t>
        </is>
      </c>
      <c r="G36" s="22" t="inlineStr">
        <is>
          <t>P1</t>
        </is>
      </c>
      <c r="H36" s="83" t="n">
        <v>0</v>
      </c>
      <c r="I36" s="22" t="n">
        <v>31</v>
      </c>
      <c r="J36" s="22" t="inlineStr">
        <is>
          <t>TAP-030; TAP-026</t>
        </is>
      </c>
      <c r="K36" s="22" t="inlineStr">
        <is>
          <t>No bloquear CLOSE protectores; ablation económica</t>
        </is>
      </c>
      <c r="L36" s="22" t="inlineStr">
        <is>
          <t>Issue #14</t>
        </is>
      </c>
      <c r="M36" s="22" t="inlineStr">
        <is>
          <t>https://github.com/Extr3sao/bot_crypto/issues/14</t>
        </is>
      </c>
      <c r="N36" s="22" t="inlineStr">
        <is>
          <t>Codex</t>
        </is>
      </c>
      <c r="O36" s="22" t="str"/>
      <c r="P36" s="22" t="str"/>
      <c r="Q36" s="22" t="inlineStr">
        <is>
          <t>2026-10-18</t>
        </is>
      </c>
      <c r="R36" s="28" t="inlineStr">
        <is>
          <t>Exigir comparativa neta incremental y independencia del crítico.</t>
        </is>
      </c>
      <c r="S36" s="28" t="inlineStr">
        <is>
          <t>Falta evidencia modelo real + ablation y gate AI-BOTS-003C.</t>
        </is>
      </c>
      <c r="T36" s="22" t="inlineStr">
        <is>
          <t>REPO_REPORT</t>
        </is>
      </c>
      <c r="U36" s="22" t="str"/>
    </row>
    <row r="37" ht="31" customHeight="1" s="82">
      <c r="A37" s="26" t="inlineStr">
        <is>
          <t>TAP-032</t>
        </is>
      </c>
      <c r="B37" s="22" t="inlineStr">
        <is>
          <t>Mercado / inteligencia</t>
        </is>
      </c>
      <c r="C37" s="22" t="inlineStr">
        <is>
          <t>06 Market Intelligence</t>
        </is>
      </c>
      <c r="D37" s="22" t="inlineStr">
        <is>
          <t>RFC-VNEXT-MARKET</t>
        </is>
      </c>
      <c r="E37" s="22" t="inlineStr">
        <is>
          <t>Formalizar MarketContext, régimen, freshness y reloj as-of</t>
        </is>
      </c>
      <c r="F37" s="22" t="inlineStr">
        <is>
          <t>PLANIFICADO</t>
        </is>
      </c>
      <c r="G37" s="22" t="inlineStr">
        <is>
          <t>P1</t>
        </is>
      </c>
      <c r="H37" s="83" t="n">
        <v>0.2</v>
      </c>
      <c r="I37" s="22" t="n">
        <v>24</v>
      </c>
      <c r="J37" s="22" t="inlineStr">
        <is>
          <t>TAP-001; TAP-024</t>
        </is>
      </c>
      <c r="K37" s="22" t="inlineStr">
        <is>
          <t>Reusar indicadores existentes; authority map de llamadas</t>
        </is>
      </c>
      <c r="L37" s="22" t="inlineStr">
        <is>
          <t>VNext arquitectura / planned</t>
        </is>
      </c>
      <c r="M37" s="22" t="inlineStr">
        <is>
          <t>https://github.com/Extr3sao/bot_crypto/issues/12</t>
        </is>
      </c>
      <c r="N37" s="22" t="inlineStr">
        <is>
          <t>Codex</t>
        </is>
      </c>
      <c r="O37" s="22" t="str"/>
      <c r="P37" s="22" t="str"/>
      <c r="Q37" s="22" t="inlineStr">
        <is>
          <t>2026-10-18</t>
        </is>
      </c>
      <c r="R37" s="28" t="inlineStr">
        <is>
          <t>Auditar componentes existentes; no inventar clases duplicadas.</t>
        </is>
      </c>
      <c r="S37" s="28" t="str"/>
      <c r="T37" s="22" t="inlineStr">
        <is>
          <t>DESIGN_ONLY</t>
        </is>
      </c>
      <c r="U37" s="22" t="str"/>
    </row>
    <row r="38" ht="31" customHeight="1" s="82">
      <c r="A38" s="26" t="inlineStr">
        <is>
          <t>TAP-033</t>
        </is>
      </c>
      <c r="B38" s="22" t="inlineStr">
        <is>
          <t>Activos</t>
        </is>
      </c>
      <c r="C38" s="22" t="inlineStr">
        <is>
          <t>07 Asset Intelligence</t>
        </is>
      </c>
      <c r="D38" s="22" t="inlineStr">
        <is>
          <t>RFC-VNEXT-ASSET</t>
        </is>
      </c>
      <c r="E38" s="22" t="inlineStr">
        <is>
          <t>AssetContext/AssetState/AssetMemory per asset</t>
        </is>
      </c>
      <c r="F38" s="22" t="inlineStr">
        <is>
          <t>PLANIFICADO</t>
        </is>
      </c>
      <c r="G38" s="22" t="inlineStr">
        <is>
          <t>P1</t>
        </is>
      </c>
      <c r="H38" s="83" t="n">
        <v>0.1</v>
      </c>
      <c r="I38" s="22" t="n">
        <v>25</v>
      </c>
      <c r="J38" s="22" t="inlineStr">
        <is>
          <t>TAP-032</t>
        </is>
      </c>
      <c r="K38" s="22" t="inlineStr">
        <is>
          <t>Metadata por activo + validación PIT + vendor provenance</t>
        </is>
      </c>
      <c r="L38" s="22" t="inlineStr">
        <is>
          <t>VNext arquitectura / planned</t>
        </is>
      </c>
      <c r="M38" s="22" t="inlineStr">
        <is>
          <t>https://github.com/Extr3sao/bot_crypto/issues/12</t>
        </is>
      </c>
      <c r="N38" s="22" t="inlineStr">
        <is>
          <t>Codex</t>
        </is>
      </c>
      <c r="O38" s="22" t="str"/>
      <c r="P38" s="22" t="str"/>
      <c r="Q38" s="22" t="inlineStr">
        <is>
          <t>2026-10-18</t>
        </is>
      </c>
      <c r="R38" s="28" t="inlineStr">
        <is>
          <t>Solo implementarlo si route/casos de uso están justificados.</t>
        </is>
      </c>
      <c r="S38" s="28" t="str"/>
      <c r="T38" s="22" t="inlineStr">
        <is>
          <t>DESIGN_ONLY</t>
        </is>
      </c>
      <c r="U38" s="22" t="str"/>
    </row>
    <row r="39" ht="31" customHeight="1" s="82">
      <c r="A39" s="26" t="inlineStr">
        <is>
          <t>TAP-034</t>
        </is>
      </c>
      <c r="B39" s="22" t="inlineStr">
        <is>
          <t>Estrategias</t>
        </is>
      </c>
      <c r="C39" s="22" t="inlineStr">
        <is>
          <t>08 Strategy Intelligence</t>
        </is>
      </c>
      <c r="D39" s="22" t="inlineStr">
        <is>
          <t>STRATEGY-REGISTRY</t>
        </is>
      </c>
      <c r="E39" s="22" t="inlineStr">
        <is>
          <t>StrategyRegistry y StrategyRouter con SELECTED/REJECTED</t>
        </is>
      </c>
      <c r="F39" s="22" t="inlineStr">
        <is>
          <t>PLANIFICADO</t>
        </is>
      </c>
      <c r="G39" s="22" t="inlineStr">
        <is>
          <t>P1</t>
        </is>
      </c>
      <c r="H39" s="83" t="n">
        <v>0.25</v>
      </c>
      <c r="I39" s="22" t="n">
        <v>27</v>
      </c>
      <c r="J39" s="22" t="inlineStr">
        <is>
          <t>TAP-032; TAP-033</t>
        </is>
      </c>
      <c r="K39" s="22" t="inlineStr">
        <is>
          <t>Reusar router research si es runtime reachable</t>
        </is>
      </c>
      <c r="L39" s="22" t="inlineStr">
        <is>
          <t>Strategy architecture / partial tests</t>
        </is>
      </c>
      <c r="M39" s="22" t="inlineStr">
        <is>
          <t>https://github.com/Extr3sao/bot_crypto/tree/agent/edge-recovery/WP-EDGE-00-baseline/src/trading_bot/research</t>
        </is>
      </c>
      <c r="N39" s="22" t="inlineStr">
        <is>
          <t>Codex</t>
        </is>
      </c>
      <c r="O39" s="22" t="str"/>
      <c r="P39" s="22" t="str"/>
      <c r="Q39" s="22" t="inlineStr">
        <is>
          <t>2026-10-18</t>
        </is>
      </c>
      <c r="R39" s="28" t="inlineStr">
        <is>
          <t>Auditar TEST_ONLY vs RUNTIME_REACHABLE antes de implementar.</t>
        </is>
      </c>
      <c r="S39" s="28" t="str"/>
      <c r="T39" s="22" t="inlineStr">
        <is>
          <t>SOURCE_AND_DESIGN</t>
        </is>
      </c>
      <c r="U39" s="22" t="inlineStr">
        <is>
          <t>En historia del proyecto se reportó router puro, pero falta certificación reachability.</t>
        </is>
      </c>
    </row>
    <row r="40" ht="31" customHeight="1" s="82">
      <c r="A40" s="26" t="inlineStr">
        <is>
          <t>TAP-035</t>
        </is>
      </c>
      <c r="B40" s="22" t="inlineStr">
        <is>
          <t>Estrategias</t>
        </is>
      </c>
      <c r="C40" s="22" t="inlineStr">
        <is>
          <t>08 Strategy Intelligence</t>
        </is>
      </c>
      <c r="D40" s="22" t="inlineStr">
        <is>
          <t>STRATEGY-ADMISSION</t>
        </is>
      </c>
      <c r="E40" s="22" t="inlineStr">
        <is>
          <t>Candidate → Backtest → OOS → Paper → Shadow → Canary</t>
        </is>
      </c>
      <c r="F40" s="22" t="inlineStr">
        <is>
          <t>PENDIENTE</t>
        </is>
      </c>
      <c r="G40" s="22" t="inlineStr">
        <is>
          <t>P0</t>
        </is>
      </c>
      <c r="H40" s="83" t="n">
        <v>0.2</v>
      </c>
      <c r="I40" s="22" t="n">
        <v>22</v>
      </c>
      <c r="J40" s="22" t="inlineStr">
        <is>
          <t>TAP-003; TAP-034</t>
        </is>
      </c>
      <c r="K40" s="22" t="inlineStr">
        <is>
          <t>Sin estrategia promovida al runtime (admission actual vacía)</t>
        </is>
      </c>
      <c r="L40" s="22" t="inlineStr">
        <is>
          <t>EDGE-017 FINAL_REPORT</t>
        </is>
      </c>
      <c r="M40" s="22" t="inlineStr">
        <is>
          <t>https://github.com/Extr3sao/bot_crypto/blob/agent/edge-recovery/WP-EDGE-00-baseline/reports/economic-recovery/RFC-EDGE-017/FINAL_REPORT.md</t>
        </is>
      </c>
      <c r="N40" s="22" t="inlineStr">
        <is>
          <t>Codex</t>
        </is>
      </c>
      <c r="O40" s="22" t="str"/>
      <c r="P40" s="22" t="str"/>
      <c r="Q40" s="22" t="inlineStr">
        <is>
          <t>2026-10-18</t>
        </is>
      </c>
      <c r="R40" s="28" t="inlineStr">
        <is>
          <t>Congelar criterios de admisión, comprobar gates/costes y promover solo con evidencia.</t>
        </is>
      </c>
      <c r="S40" s="28" t="inlineStr">
        <is>
          <t>Aún 0 estrategias admitidas.</t>
        </is>
      </c>
      <c r="T40" s="22" t="inlineStr">
        <is>
          <t>REPO_REPORT</t>
        </is>
      </c>
      <c r="U40" s="22" t="str"/>
    </row>
    <row r="41" ht="31" customHeight="1" s="82">
      <c r="A41" s="26" t="inlineStr">
        <is>
          <t>TAP-036</t>
        </is>
      </c>
      <c r="B41" s="22" t="inlineStr">
        <is>
          <t>Estrategias</t>
        </is>
      </c>
      <c r="C41" s="22" t="inlineStr">
        <is>
          <t>08 Strategy Intelligence</t>
        </is>
      </c>
      <c r="D41" s="22" t="inlineStr">
        <is>
          <t>EDGE-016/017</t>
        </is>
      </c>
      <c r="E41" s="22" t="inlineStr">
        <is>
          <t>Ensayos netos de baseline 1x/2x/3x + restricciones</t>
        </is>
      </c>
      <c r="F41" s="22" t="inlineStr">
        <is>
          <t>VERIFICADO_FOCAL</t>
        </is>
      </c>
      <c r="G41" s="22" t="inlineStr">
        <is>
          <t>P0</t>
        </is>
      </c>
      <c r="H41" s="83" t="n">
        <v>1</v>
      </c>
      <c r="I41" s="22" t="n">
        <v>12</v>
      </c>
      <c r="J41" s="22" t="inlineStr">
        <is>
          <t>TAP-003</t>
        </is>
      </c>
      <c r="K41" s="22" t="inlineStr">
        <is>
          <t>1x -238.7705, 2x -425.6923, 3x -500.5718 USDT</t>
        </is>
      </c>
      <c r="L41" s="22" t="inlineStr">
        <is>
          <t>NET_RISK_REPLAY.json</t>
        </is>
      </c>
      <c r="M41" s="22" t="inlineStr">
        <is>
          <t>https://github.com/Extr3sao/bot_crypto/blob/agent/edge-recovery/WP-EDGE-00-baseline/reports/economic-recovery/RFC-EDGE-017/NET_RISK_REPLAY.json</t>
        </is>
      </c>
      <c r="N41" s="22" t="inlineStr">
        <is>
          <t>Codex</t>
        </is>
      </c>
      <c r="O41" s="22" t="str"/>
      <c r="P41" s="22" t="str"/>
      <c r="Q41" s="22" t="inlineStr">
        <is>
          <t>2026-10-18</t>
        </is>
      </c>
      <c r="R41" s="28" t="str"/>
      <c r="S41" s="28" t="str"/>
      <c r="T41" s="22" t="inlineStr">
        <is>
          <t>REPO_REPORT</t>
        </is>
      </c>
      <c r="U41" s="22" t="inlineStr">
        <is>
          <t>Replay histórico determinista NO edge positivo.</t>
        </is>
      </c>
    </row>
    <row r="42" ht="31" customHeight="1" s="82">
      <c r="A42" s="26" t="inlineStr">
        <is>
          <t>TAP-037</t>
        </is>
      </c>
      <c r="B42" s="22" t="inlineStr">
        <is>
          <t>Estrategias</t>
        </is>
      </c>
      <c r="C42" s="22" t="inlineStr">
        <is>
          <t>08 Strategy Intelligence</t>
        </is>
      </c>
      <c r="D42" s="22" t="inlineStr">
        <is>
          <t>EDGE-017</t>
        </is>
      </c>
      <c r="E42" s="22" t="inlineStr">
        <is>
          <t>Captura prospectiva manual 24/24 barras BTC/ETH/SOL</t>
        </is>
      </c>
      <c r="F42" s="22" t="inlineStr">
        <is>
          <t>VERIFICADO_FOCAL</t>
        </is>
      </c>
      <c r="G42" s="22" t="inlineStr">
        <is>
          <t>P1</t>
        </is>
      </c>
      <c r="H42" s="83" t="n">
        <v>1</v>
      </c>
      <c r="I42" s="22" t="n">
        <v>13</v>
      </c>
      <c r="J42" s="22" t="inlineStr">
        <is>
          <t>TAP-001</t>
        </is>
      </c>
      <c r="K42" s="22" t="inlineStr">
        <is>
          <t>6 recibidas al cierre; 18 recuperadas; 0 operaciones</t>
        </is>
      </c>
      <c r="L42" s="22" t="inlineStr">
        <is>
          <t>CAPTURE_INTEGRITY / EDGE-017</t>
        </is>
      </c>
      <c r="M42" s="22" t="inlineStr">
        <is>
          <t>https://github.com/Extr3sao/bot_crypto/blob/agent/edge-recovery/WP-EDGE-00-baseline/reports/economic-recovery/RFC-EDGE-017/FINAL_REPORT.md</t>
        </is>
      </c>
      <c r="N42" s="22" t="inlineStr">
        <is>
          <t>Codex</t>
        </is>
      </c>
      <c r="O42" s="22" t="str"/>
      <c r="P42" s="22" t="str"/>
      <c r="Q42" s="22" t="inlineStr">
        <is>
          <t>2026-10-18</t>
        </is>
      </c>
      <c r="R42" s="28" t="str"/>
      <c r="S42" s="28" t="str"/>
      <c r="T42" s="22" t="inlineStr">
        <is>
          <t>REPO_REPORT</t>
        </is>
      </c>
      <c r="U42" s="22" t="inlineStr">
        <is>
          <t>Manual ≠ captura continua; 9 evaluadas sin propuesta.</t>
        </is>
      </c>
    </row>
    <row r="43" ht="31" customHeight="1" s="82">
      <c r="A43" s="26" t="inlineStr">
        <is>
          <t>TAP-038</t>
        </is>
      </c>
      <c r="B43" s="22" t="inlineStr">
        <is>
          <t>Estrategias</t>
        </is>
      </c>
      <c r="C43" s="22" t="inlineStr">
        <is>
          <t>08 Strategy Intelligence</t>
        </is>
      </c>
      <c r="D43" s="22" t="inlineStr">
        <is>
          <t>TAP-EDGE-001</t>
        </is>
      </c>
      <c r="E43" s="22" t="inlineStr">
        <is>
          <t>Experimentos INTRA-A breakout 15m / 1h bajo registro</t>
        </is>
      </c>
      <c r="F43" s="22" t="inlineStr">
        <is>
          <t>PLANIFICADO</t>
        </is>
      </c>
      <c r="G43" s="22" t="inlineStr">
        <is>
          <t>P1</t>
        </is>
      </c>
      <c r="H43" s="83" t="n">
        <v>0</v>
      </c>
      <c r="I43" s="22" t="n">
        <v>26</v>
      </c>
      <c r="J43" s="22" t="inlineStr">
        <is>
          <t>TAP-035</t>
        </is>
      </c>
      <c r="K43" s="22" t="inlineStr">
        <is>
          <t>GATE test PIT + OOS + costes; no promociones automáticas</t>
        </is>
      </c>
      <c r="L43" s="22" t="inlineStr">
        <is>
          <t>RFC-TAP-EDGE-001</t>
        </is>
      </c>
      <c r="M43" s="22" t="inlineStr">
        <is>
          <t>https://github.com/Extr3sao/bot_crypto/issues/10</t>
        </is>
      </c>
      <c r="N43" s="22" t="inlineStr">
        <is>
          <t>Codex</t>
        </is>
      </c>
      <c r="O43" s="22" t="str"/>
      <c r="P43" s="22" t="str"/>
      <c r="Q43" s="22" t="inlineStr">
        <is>
          <t>2026-10-18</t>
        </is>
      </c>
      <c r="R43" s="28" t="inlineStr">
        <is>
          <t>Contrastarlo con código y candidatos ya existentes.</t>
        </is>
      </c>
      <c r="S43" s="28" t="str"/>
      <c r="T43" s="22" t="inlineStr">
        <is>
          <t>DESIGN_ONLY</t>
        </is>
      </c>
      <c r="U43" s="22" t="str"/>
    </row>
    <row r="44" ht="31" customHeight="1" s="82">
      <c r="A44" s="26" t="inlineStr">
        <is>
          <t>TAP-039</t>
        </is>
      </c>
      <c r="B44" s="22" t="inlineStr">
        <is>
          <t>Estrategias</t>
        </is>
      </c>
      <c r="C44" s="22" t="inlineStr">
        <is>
          <t>08 Strategy Intelligence</t>
        </is>
      </c>
      <c r="D44" s="22" t="inlineStr">
        <is>
          <t>TAP-EDGE-001</t>
        </is>
      </c>
      <c r="E44" s="22" t="inlineStr">
        <is>
          <t>Experimentos INTRA-B retest/FVG confirmada</t>
        </is>
      </c>
      <c r="F44" s="22" t="inlineStr">
        <is>
          <t>PLANIFICADO</t>
        </is>
      </c>
      <c r="G44" s="22" t="inlineStr">
        <is>
          <t>P1</t>
        </is>
      </c>
      <c r="H44" s="83" t="n">
        <v>0</v>
      </c>
      <c r="I44" s="22" t="n">
        <v>28</v>
      </c>
      <c r="J44" s="22" t="inlineStr">
        <is>
          <t>TAP-038</t>
        </is>
      </c>
      <c r="K44" s="22" t="inlineStr">
        <is>
          <t>Medir A/B B-sin-FVG, lookahead y fricción</t>
        </is>
      </c>
      <c r="L44" s="22" t="inlineStr">
        <is>
          <t>RFC-TAP-EDGE-001</t>
        </is>
      </c>
      <c r="M44" s="22" t="inlineStr">
        <is>
          <t>https://github.com/Extr3sao/bot_crypto/issues/10</t>
        </is>
      </c>
      <c r="N44" s="22" t="inlineStr">
        <is>
          <t>Codex</t>
        </is>
      </c>
      <c r="O44" s="22" t="str"/>
      <c r="P44" s="22" t="str"/>
      <c r="Q44" s="22" t="inlineStr">
        <is>
          <t>2026-10-18</t>
        </is>
      </c>
      <c r="R44" s="28" t="inlineStr">
        <is>
          <t>Implementar solo tras baseline de INTRA-A.</t>
        </is>
      </c>
      <c r="S44" s="28" t="str"/>
      <c r="T44" s="22" t="inlineStr">
        <is>
          <t>DESIGN_ONLY</t>
        </is>
      </c>
      <c r="U44" s="22" t="str"/>
    </row>
    <row r="45" ht="31" customHeight="1" s="82">
      <c r="A45" s="26" t="inlineStr">
        <is>
          <t>TAP-040</t>
        </is>
      </c>
      <c r="B45" s="22" t="inlineStr">
        <is>
          <t>Estrategias</t>
        </is>
      </c>
      <c r="C45" s="22" t="inlineStr">
        <is>
          <t>08 Strategy Intelligence</t>
        </is>
      </c>
      <c r="D45" s="22" t="inlineStr">
        <is>
          <t>TAP-EDGE-001</t>
        </is>
      </c>
      <c r="E45" s="22" t="inlineStr">
        <is>
          <t>TREND-C 4h/1d y benchmarks BUY&amp;HOLD/CASH</t>
        </is>
      </c>
      <c r="F45" s="22" t="inlineStr">
        <is>
          <t>PLANIFICADO</t>
        </is>
      </c>
      <c r="G45" s="22" t="inlineStr">
        <is>
          <t>P1</t>
        </is>
      </c>
      <c r="H45" s="83" t="n">
        <v>0</v>
      </c>
      <c r="I45" s="22" t="n">
        <v>28</v>
      </c>
      <c r="J45" s="22" t="inlineStr">
        <is>
          <t>TAP-038</t>
        </is>
      </c>
      <c r="K45" s="22" t="inlineStr">
        <is>
          <t>No forzar operaciones en estrategias low-frequency</t>
        </is>
      </c>
      <c r="L45" s="22" t="inlineStr">
        <is>
          <t>RFC-TAP-EDGE-001</t>
        </is>
      </c>
      <c r="M45" s="22" t="inlineStr">
        <is>
          <t>https://github.com/Extr3sao/bot_crypto/issues/10</t>
        </is>
      </c>
      <c r="N45" s="22" t="inlineStr">
        <is>
          <t>Codex</t>
        </is>
      </c>
      <c r="O45" s="22" t="str"/>
      <c r="P45" s="22" t="str"/>
      <c r="Q45" s="22" t="inlineStr">
        <is>
          <t>2026-10-18</t>
        </is>
      </c>
      <c r="R45" s="28" t="inlineStr">
        <is>
          <t>Ablation matched assets/capital y fees.</t>
        </is>
      </c>
      <c r="S45" s="28" t="str"/>
      <c r="T45" s="22" t="inlineStr">
        <is>
          <t>DESIGN_ONLY</t>
        </is>
      </c>
      <c r="U45" s="22" t="str"/>
    </row>
    <row r="46" ht="31" customHeight="1" s="82">
      <c r="A46" s="26" t="inlineStr">
        <is>
          <t>TAP-041</t>
        </is>
      </c>
      <c r="B46" s="22" t="inlineStr">
        <is>
          <t>Rentabilidad</t>
        </is>
      </c>
      <c r="C46" s="22" t="inlineStr">
        <is>
          <t>13 Agent Utility</t>
        </is>
      </c>
      <c r="D46" s="22" t="inlineStr">
        <is>
          <t>EDGE-OOS</t>
        </is>
      </c>
      <c r="E46" s="22" t="inlineStr">
        <is>
          <t>Diseñar campañas OOS con múltiples regímenes y sobreajuste controlado</t>
        </is>
      </c>
      <c r="F46" s="22" t="inlineStr">
        <is>
          <t>PENDIENTE</t>
        </is>
      </c>
      <c r="G46" s="22" t="inlineStr">
        <is>
          <t>P0</t>
        </is>
      </c>
      <c r="H46" s="83" t="n">
        <v>0.15</v>
      </c>
      <c r="I46" s="22" t="n">
        <v>28</v>
      </c>
      <c r="J46" s="22" t="inlineStr">
        <is>
          <t>TAP-035; TAP-036</t>
        </is>
      </c>
      <c r="K46" s="22" t="inlineStr">
        <is>
          <t>PnL NETO positivo ROBUSTO por estrategia antes de promoción</t>
        </is>
      </c>
      <c r="L46" s="22" t="inlineStr">
        <is>
          <t>EDGE-017 neto negativo</t>
        </is>
      </c>
      <c r="M46" s="22" t="inlineStr">
        <is>
          <t>https://github.com/Extr3sao/bot_crypto/issues/10</t>
        </is>
      </c>
      <c r="N46" s="22" t="inlineStr">
        <is>
          <t>Codex</t>
        </is>
      </c>
      <c r="O46" s="22" t="str"/>
      <c r="P46" s="22" t="str"/>
      <c r="Q46" s="22" t="inlineStr">
        <is>
          <t>2026-10-18</t>
        </is>
      </c>
      <c r="R46" s="28" t="inlineStr">
        <is>
          <t>Experiment spec preregistrada y OOS intocado.</t>
        </is>
      </c>
      <c r="S46" s="28" t="inlineStr">
        <is>
          <t>La rentabilidad actual no está demostrada.</t>
        </is>
      </c>
      <c r="T46" s="22" t="inlineStr">
        <is>
          <t>REPO_REPORT</t>
        </is>
      </c>
      <c r="U46" s="22" t="str"/>
    </row>
    <row r="47" ht="31" customHeight="1" s="82">
      <c r="A47" s="26" t="inlineStr">
        <is>
          <t>TAP-042</t>
        </is>
      </c>
      <c r="B47" s="22" t="inlineStr">
        <is>
          <t>Rentabilidad</t>
        </is>
      </c>
      <c r="C47" s="22" t="inlineStr">
        <is>
          <t>13 Agent Utility</t>
        </is>
      </c>
      <c r="D47" s="22" t="inlineStr">
        <is>
          <t>GOAL-ACTIVE</t>
        </is>
      </c>
      <c r="E47" s="22" t="inlineStr">
        <is>
          <t>Objetivo ACTIVE &gt;=3 fills/día, 7d/semana cripto (sin forzar señales)</t>
        </is>
      </c>
      <c r="F47" s="22" t="inlineStr">
        <is>
          <t>BLOQUEADO</t>
        </is>
      </c>
      <c r="G47" s="22" t="inlineStr">
        <is>
          <t>P1</t>
        </is>
      </c>
      <c r="H47" s="83" t="n">
        <v>0</v>
      </c>
      <c r="I47" s="22" t="n">
        <v>40</v>
      </c>
      <c r="J47" s="22" t="inlineStr">
        <is>
          <t>TAP-035; TAP-041</t>
        </is>
      </c>
      <c r="K47" s="22" t="inlineStr">
        <is>
          <t>Frecuencia cada día sin sacrificar calidad ni riesgo</t>
        </is>
      </c>
      <c r="L47" s="22" t="inlineStr">
        <is>
          <t>Objetivo de producto; aún sin validación</t>
        </is>
      </c>
      <c r="M47" s="22" t="inlineStr">
        <is>
          <t>https://github.com/Extr3sao/bot_crypto/issues/10</t>
        </is>
      </c>
      <c r="N47" s="22" t="inlineStr">
        <is>
          <t>Usuario (policy) + Quant</t>
        </is>
      </c>
      <c r="O47" s="22" t="str"/>
      <c r="P47" s="22" t="str"/>
      <c r="Q47" s="22" t="inlineStr">
        <is>
          <t>2026-10-18</t>
        </is>
      </c>
      <c r="R47" s="28" t="inlineStr">
        <is>
          <t>Medir días sin fills en PAPER; evaluar universos; política 7/7 separada.</t>
        </is>
      </c>
      <c r="S47" s="28" t="inlineStr">
        <is>
          <t>weekend_trading=false, sin edge y sin estrategia admitida.</t>
        </is>
      </c>
      <c r="T47" s="22" t="inlineStr">
        <is>
          <t>USER_GOAL</t>
        </is>
      </c>
      <c r="U47" s="22" t="inlineStr">
        <is>
          <t>R6 P2 QUALITY permanece separado como estrategia baja frecuencia.</t>
        </is>
      </c>
    </row>
    <row r="48" ht="31" customHeight="1" s="82">
      <c r="A48" s="26" t="inlineStr">
        <is>
          <t>TAP-043</t>
        </is>
      </c>
      <c r="B48" s="22" t="inlineStr">
        <is>
          <t>Observabilidad</t>
        </is>
      </c>
      <c r="C48" s="22" t="inlineStr">
        <is>
          <t>12 Observabilidad</t>
        </is>
      </c>
      <c r="D48" s="22" t="inlineStr">
        <is>
          <t>DECISION-TRACE</t>
        </is>
      </c>
      <c r="E48" s="22" t="inlineStr">
        <is>
          <t>DecisionTrace/Reconciliation + replay(run_id) transversal</t>
        </is>
      </c>
      <c r="F48" s="22" t="inlineStr">
        <is>
          <t>PLANIFICADO</t>
        </is>
      </c>
      <c r="G48" s="22" t="inlineStr">
        <is>
          <t>P1</t>
        </is>
      </c>
      <c r="H48" s="83" t="n">
        <v>0.45</v>
      </c>
      <c r="I48" s="22" t="n">
        <v>29</v>
      </c>
      <c r="J48" s="22" t="inlineStr">
        <is>
          <t>TAP-004; TAP-020</t>
        </is>
      </c>
      <c r="K48" s="22" t="inlineStr">
        <is>
          <t>Algunos ledgers locales existen; falta replay E2E unified</t>
        </is>
      </c>
      <c r="L48" s="22" t="inlineStr">
        <is>
          <t>Arquitectura VNext</t>
        </is>
      </c>
      <c r="M48" s="22" t="inlineStr">
        <is>
          <t>https://github.com/Extr3sao/bot_crypto/issues/12</t>
        </is>
      </c>
      <c r="N48" s="22" t="inlineStr">
        <is>
          <t>Codex</t>
        </is>
      </c>
      <c r="O48" s="22" t="str"/>
      <c r="P48" s="22" t="str"/>
      <c r="Q48" s="22" t="inlineStr">
        <is>
          <t>2026-10-18</t>
        </is>
      </c>
      <c r="R48" s="28" t="inlineStr">
        <is>
          <t>Alinear IDs, clocks, price evidence; no duplicar ledger.</t>
        </is>
      </c>
      <c r="S48" s="28" t="str"/>
      <c r="T48" s="22" t="inlineStr">
        <is>
          <t>DESIGN_AND_PARTIAL_SOURCE</t>
        </is>
      </c>
      <c r="U48" s="22" t="str"/>
    </row>
    <row r="49" ht="31" customHeight="1" s="82">
      <c r="A49" s="26" t="inlineStr">
        <is>
          <t>TAP-044</t>
        </is>
      </c>
      <c r="B49" s="22" t="inlineStr">
        <is>
          <t>Orquestación</t>
        </is>
      </c>
      <c r="C49" s="22" t="inlineStr">
        <is>
          <t>03 Runtime Authority</t>
        </is>
      </c>
      <c r="D49" s="22" t="inlineStr">
        <is>
          <t>MASTER-ORCH</t>
        </is>
      </c>
      <c r="E49" s="22" t="inlineStr">
        <is>
          <t>Mapear Master Orchestrator runtime real, fallos/resume y gates</t>
        </is>
      </c>
      <c r="F49" s="22" t="inlineStr">
        <is>
          <t>PLANIFICADO</t>
        </is>
      </c>
      <c r="G49" s="22" t="inlineStr">
        <is>
          <t>P1</t>
        </is>
      </c>
      <c r="H49" s="83" t="n">
        <v>0.15</v>
      </c>
      <c r="I49" s="22" t="n">
        <v>32</v>
      </c>
      <c r="J49" s="22" t="inlineStr">
        <is>
          <t>TAP-001</t>
        </is>
      </c>
      <c r="K49" s="22" t="inlineStr">
        <is>
          <t>StateGraph opcional; no copiar frameworks completos</t>
        </is>
      </c>
      <c r="L49" s="22" t="inlineStr">
        <is>
          <t>VNext arquitectura / propuesta</t>
        </is>
      </c>
      <c r="M49" s="22" t="inlineStr">
        <is>
          <t>https://github.com/Extr3sao/bot_crypto/issues/14</t>
        </is>
      </c>
      <c r="N49" s="22" t="inlineStr">
        <is>
          <t>Codex</t>
        </is>
      </c>
      <c r="O49" s="22" t="str"/>
      <c r="P49" s="22" t="str"/>
      <c r="Q49" s="22" t="inlineStr">
        <is>
          <t>2026-10-18</t>
        </is>
      </c>
      <c r="R49" s="28" t="inlineStr">
        <is>
          <t>Auditar entrypoint reachability, estado y retry antes de RFC.</t>
        </is>
      </c>
      <c r="S49" s="28" t="str"/>
      <c r="T49" s="22" t="inlineStr">
        <is>
          <t>DESIGN_ONLY</t>
        </is>
      </c>
      <c r="U49" s="22" t="str"/>
    </row>
    <row r="50" ht="31" customHeight="1" s="82">
      <c r="A50" s="26" t="inlineStr">
        <is>
          <t>TAP-045</t>
        </is>
      </c>
      <c r="B50" s="22" t="inlineStr">
        <is>
          <t>Comunicación</t>
        </is>
      </c>
      <c r="C50" s="22" t="inlineStr">
        <is>
          <t>05 Communication</t>
        </is>
      </c>
      <c r="D50" s="22" t="inlineStr">
        <is>
          <t>AGENT-MESSAGES</t>
        </is>
      </c>
      <c r="E50" s="22" t="inlineStr">
        <is>
          <t>Contrato AgentMessage tipado y evidence/counter-evidence</t>
        </is>
      </c>
      <c r="F50" s="22" t="inlineStr">
        <is>
          <t>PLANIFICADO</t>
        </is>
      </c>
      <c r="G50" s="22" t="inlineStr">
        <is>
          <t>P1</t>
        </is>
      </c>
      <c r="H50" s="83" t="n">
        <v>0.15</v>
      </c>
      <c r="I50" s="22" t="n">
        <v>32</v>
      </c>
      <c r="J50" s="22" t="inlineStr">
        <is>
          <t>TAP-029; TAP-044</t>
        </is>
      </c>
      <c r="K50" s="22" t="inlineStr">
        <is>
          <t>No chat libre multiagent sin ID, receipt, permiso</t>
        </is>
      </c>
      <c r="L50" s="22" t="inlineStr">
        <is>
          <t>Arquitectura VNext / propuesta</t>
        </is>
      </c>
      <c r="M50" s="22" t="inlineStr">
        <is>
          <t>https://github.com/Extr3sao/bot_crypto/issues/14</t>
        </is>
      </c>
      <c r="N50" s="22" t="inlineStr">
        <is>
          <t>Codex</t>
        </is>
      </c>
      <c r="O50" s="22" t="str"/>
      <c r="P50" s="22" t="str"/>
      <c r="Q50" s="22" t="inlineStr">
        <is>
          <t>2026-10-18</t>
        </is>
      </c>
      <c r="R50" s="28" t="inlineStr">
        <is>
          <t>Integrar en crítico si demuestra función ortogonal.</t>
        </is>
      </c>
      <c r="S50" s="28" t="str"/>
      <c r="T50" s="22" t="inlineStr">
        <is>
          <t>DESIGN_ONLY</t>
        </is>
      </c>
      <c r="U50" s="22" t="str"/>
    </row>
    <row r="51" ht="31" customHeight="1" s="82">
      <c r="A51" s="26" t="inlineStr">
        <is>
          <t>TAP-046</t>
        </is>
      </c>
      <c r="B51" s="22" t="inlineStr">
        <is>
          <t>Memoria</t>
        </is>
      </c>
      <c r="C51" s="22" t="inlineStr">
        <is>
          <t>11 Memory</t>
        </is>
      </c>
      <c r="D51" s="22" t="inlineStr">
        <is>
          <t>MEMORY-VNEXT</t>
        </is>
      </c>
      <c r="E51" s="22" t="inlineStr">
        <is>
          <t>Separar Working/Market/Asset/Trade/Failure/Research Memory</t>
        </is>
      </c>
      <c r="F51" s="22" t="inlineStr">
        <is>
          <t>PLANIFICADO</t>
        </is>
      </c>
      <c r="G51" s="22" t="inlineStr">
        <is>
          <t>P2</t>
        </is>
      </c>
      <c r="H51" s="83" t="n">
        <v>0</v>
      </c>
      <c r="I51" s="22" t="n">
        <v>46</v>
      </c>
      <c r="J51" s="22" t="inlineStr">
        <is>
          <t>TAP-043</t>
        </is>
      </c>
      <c r="K51" s="22" t="inlineStr">
        <is>
          <t>Memoria no cambia risk/execution ni aprende de una pérdida sola</t>
        </is>
      </c>
      <c r="L51" s="22" t="inlineStr">
        <is>
          <t>Arquitectura VNext / propuesta</t>
        </is>
      </c>
      <c r="M51" s="22" t="inlineStr">
        <is>
          <t>https://github.com/Extr3sao/bot_crypto/issues/14</t>
        </is>
      </c>
      <c r="N51" s="22" t="inlineStr">
        <is>
          <t>Codex</t>
        </is>
      </c>
      <c r="O51" s="22" t="str"/>
      <c r="P51" s="22" t="str"/>
      <c r="Q51" s="22" t="inlineStr">
        <is>
          <t>2026-10-18</t>
        </is>
      </c>
      <c r="R51" s="28" t="inlineStr">
        <is>
          <t>Comenzar con post-trade lessons offline, sin auto-promoción.</t>
        </is>
      </c>
      <c r="S51" s="28" t="str"/>
      <c r="T51" s="22" t="inlineStr">
        <is>
          <t>DESIGN_ONLY</t>
        </is>
      </c>
      <c r="U51" s="22" t="str"/>
    </row>
    <row r="52" ht="31" customHeight="1" s="82">
      <c r="A52" s="26" t="inlineStr">
        <is>
          <t>TAP-047</t>
        </is>
      </c>
      <c r="B52" s="22" t="inlineStr">
        <is>
          <t>Prompts &amp; modelos</t>
        </is>
      </c>
      <c r="C52" s="22" t="inlineStr">
        <is>
          <t>04 Foundation</t>
        </is>
      </c>
      <c r="D52" s="22" t="inlineStr">
        <is>
          <t>PROMPT-REGISTRY</t>
        </is>
      </c>
      <c r="E52" s="22" t="inlineStr">
        <is>
          <t>Versionar prompts y tests prompt-injection/authority/missing evidence</t>
        </is>
      </c>
      <c r="F52" s="22" t="inlineStr">
        <is>
          <t>PLANIFICADO</t>
        </is>
      </c>
      <c r="G52" s="22" t="inlineStr">
        <is>
          <t>P1</t>
        </is>
      </c>
      <c r="H52" s="83" t="n">
        <v>0.4</v>
      </c>
      <c r="I52" s="22" t="n">
        <v>26</v>
      </c>
      <c r="J52" s="22" t="inlineStr">
        <is>
          <t>TAP-012; TAP-029</t>
        </is>
      </c>
      <c r="K52" s="22" t="inlineStr">
        <is>
          <t>Prompt versions existen en VIS/CTX; falta governance transversal</t>
        </is>
      </c>
      <c r="L52" s="22" t="inlineStr">
        <is>
          <t>Codex fuentes prompt v1/v2</t>
        </is>
      </c>
      <c r="M52" s="22" t="inlineStr">
        <is>
          <t>https://github.com/Extr3sao/bot_crypto/tree/agent/ai-bots/RFC-TAP-AI-BOTS-003/src/trading_bot/vision</t>
        </is>
      </c>
      <c r="N52" s="22" t="inlineStr">
        <is>
          <t>Codex</t>
        </is>
      </c>
      <c r="O52" s="22" t="str"/>
      <c r="P52" s="22" t="str"/>
      <c r="Q52" s="22" t="inlineStr">
        <is>
          <t>2026-10-18</t>
        </is>
      </c>
      <c r="R52" s="28" t="inlineStr">
        <is>
          <t>Fijar schema + versiones + evaluación coste/latencia.</t>
        </is>
      </c>
      <c r="S52" s="28" t="str"/>
      <c r="T52" s="22" t="inlineStr">
        <is>
          <t>PARTIAL_SOURCE</t>
        </is>
      </c>
      <c r="U52" s="22" t="str"/>
    </row>
    <row r="53" ht="31" customHeight="1" s="82">
      <c r="A53" s="26" t="inlineStr">
        <is>
          <t>TAP-048</t>
        </is>
      </c>
      <c r="B53" s="22" t="inlineStr">
        <is>
          <t>Infra &amp; CI</t>
        </is>
      </c>
      <c r="C53" s="22" t="inlineStr">
        <is>
          <t>03 Runtime Authority</t>
        </is>
      </c>
      <c r="D53" s="22" t="inlineStr">
        <is>
          <t>FULL-UNIT-GATE</t>
        </is>
      </c>
      <c r="E53" s="22" t="inlineStr">
        <is>
          <t>Suite global reproducible, atribución de fallos y CI en commit</t>
        </is>
      </c>
      <c r="F53" s="22" t="inlineStr">
        <is>
          <t>BLOQUEADO</t>
        </is>
      </c>
      <c r="G53" s="22" t="inlineStr">
        <is>
          <t>P0</t>
        </is>
      </c>
      <c r="H53" s="83" t="n">
        <v>0.25</v>
      </c>
      <c r="I53" s="22" t="n">
        <v>16</v>
      </c>
      <c r="J53" s="22" t="inlineStr">
        <is>
          <t>TAP-005; TAP-020</t>
        </is>
      </c>
      <c r="K53" s="22" t="inlineStr">
        <is>
          <t>EDGE-017 full 4070 PASS/14 FAIL; AI branch global NO ejecutada</t>
        </is>
      </c>
      <c r="L53" s="22" t="inlineStr">
        <is>
          <t>EDGE-017 RUN_REPORT + issues</t>
        </is>
      </c>
      <c r="M53" s="22" t="inlineStr">
        <is>
          <t>https://github.com/Extr3sao/bot_crypto/blob/agent/edge-recovery/WP-EDGE-00-baseline/reports/economic-recovery/RFC-EDGE-017/FINAL_REPORT.md</t>
        </is>
      </c>
      <c r="N53" s="22" t="inlineStr">
        <is>
          <t>Codex</t>
        </is>
      </c>
      <c r="O53" s="22" t="str"/>
      <c r="P53" s="22" t="str"/>
      <c r="Q53" s="22" t="inlineStr">
        <is>
          <t>2026-10-18</t>
        </is>
      </c>
      <c r="R53" s="28" t="inlineStr">
        <is>
          <t>Separar worktree limpio, reparar 14 tests por owner y ejecutar CI.</t>
        </is>
      </c>
      <c r="S53" s="28" t="inlineStr">
        <is>
          <t>14 FAIL previos en EDGE, ~180 archivos concurrentes sucios en local.</t>
        </is>
      </c>
      <c r="T53" s="22" t="inlineStr">
        <is>
          <t>REPO_REPORT</t>
        </is>
      </c>
      <c r="U53" s="22" t="str"/>
    </row>
    <row r="54" ht="31" customHeight="1" s="82">
      <c r="A54" s="26" t="inlineStr">
        <is>
          <t>TAP-049</t>
        </is>
      </c>
      <c r="B54" s="22" t="inlineStr">
        <is>
          <t>Infra &amp; CI</t>
        </is>
      </c>
      <c r="C54" s="22" t="inlineStr">
        <is>
          <t>14 Paper</t>
        </is>
      </c>
      <c r="D54" s="22" t="inlineStr">
        <is>
          <t>SCHEDULER-CAPTURE</t>
        </is>
      </c>
      <c r="E54" s="22" t="inlineStr">
        <is>
          <t>Scheduler seguro para captura prospectiva continua y reinicio</t>
        </is>
      </c>
      <c r="F54" s="22" t="inlineStr">
        <is>
          <t>BLOQUEADO</t>
        </is>
      </c>
      <c r="G54" s="22" t="inlineStr">
        <is>
          <t>P0</t>
        </is>
      </c>
      <c r="H54" s="83" t="n">
        <v>0.1</v>
      </c>
      <c r="I54" s="22" t="n">
        <v>21</v>
      </c>
      <c r="J54" s="22" t="inlineStr">
        <is>
          <t>TAP-037; TAP-024</t>
        </is>
      </c>
      <c r="K54" s="22" t="inlineStr">
        <is>
          <t>24 barras fueron capturadas manualmente</t>
        </is>
      </c>
      <c r="L54" s="22" t="inlineStr">
        <is>
          <t>EDGE-017 / no scheduled task</t>
        </is>
      </c>
      <c r="M54" s="22" t="inlineStr">
        <is>
          <t>https://github.com/Extr3sao/bot_crypto/blob/agent/edge-recovery/WP-EDGE-00-baseline/reports/economic-recovery/RFC-EDGE-017/FINAL_REPORT.md</t>
        </is>
      </c>
      <c r="N54" s="22" t="inlineStr">
        <is>
          <t>Codex</t>
        </is>
      </c>
      <c r="O54" s="22" t="str"/>
      <c r="P54" s="22" t="str"/>
      <c r="Q54" s="22" t="inlineStr">
        <is>
          <t>2026-10-18</t>
        </is>
      </c>
      <c r="R54" s="28" t="inlineStr">
        <is>
          <t>Preparar launcher sin admin; acción privilegiada solo con autorización.</t>
        </is>
      </c>
      <c r="S54" s="28" t="inlineStr">
        <is>
          <t>Tarea Windows requiere permisos admin o alternativa de usuario.</t>
        </is>
      </c>
      <c r="T54" s="22" t="inlineStr">
        <is>
          <t>REPO_REPORT</t>
        </is>
      </c>
      <c r="U54" s="22" t="str"/>
    </row>
    <row r="55" ht="31" customHeight="1" s="82">
      <c r="A55" s="26" t="inlineStr">
        <is>
          <t>TAP-050</t>
        </is>
      </c>
      <c r="B55" s="22" t="inlineStr">
        <is>
          <t>Infra &amp; CI</t>
        </is>
      </c>
      <c r="C55" s="22" t="inlineStr">
        <is>
          <t>03 Runtime Authority</t>
        </is>
      </c>
      <c r="D55" s="22" t="inlineStr">
        <is>
          <t>DISK-CAPACITY</t>
        </is>
      </c>
      <c r="E55" s="22" t="inlineStr">
        <is>
          <t>Liberar espacio de disco preservando worktrees y evidencias</t>
        </is>
      </c>
      <c r="F55" s="22" t="inlineStr">
        <is>
          <t>BLOQUEADO</t>
        </is>
      </c>
      <c r="G55" s="22" t="inlineStr">
        <is>
          <t>P0</t>
        </is>
      </c>
      <c r="H55" s="83" t="n">
        <v>0</v>
      </c>
      <c r="I55" s="22" t="n">
        <v>13</v>
      </c>
      <c r="J55" s="22" t="str"/>
      <c r="K55" s="22" t="inlineStr">
        <is>
          <t>Host históricamente ~99% usado; sin medición actual</t>
        </is>
      </c>
      <c r="L55" s="22" t="inlineStr">
        <is>
          <t>EDGE-017 (4.2GB libre histórico)</t>
        </is>
      </c>
      <c r="M55" s="22" t="inlineStr">
        <is>
          <t>https://github.com/Extr3sao/bot_crypto/blob/agent/edge-recovery/WP-EDGE-00-baseline/reports/economic-recovery/RFC-EDGE-017/FINAL_REPORT.md</t>
        </is>
      </c>
      <c r="N55" s="22" t="inlineStr">
        <is>
          <t>Usuario / Codex preflight</t>
        </is>
      </c>
      <c r="O55" s="22" t="str"/>
      <c r="P55" s="22" t="str"/>
      <c r="Q55" s="22" t="inlineStr">
        <is>
          <t>2026-10-18</t>
        </is>
      </c>
      <c r="R55" s="28" t="inlineStr">
        <is>
          <t>Medir espacio en runtime al reanudar; limpiar solo temporales autorizados.</t>
        </is>
      </c>
      <c r="S55" s="28" t="inlineStr">
        <is>
          <t>No hay lectura actual del disco; dato anterior no es live.</t>
        </is>
      </c>
      <c r="T55" s="22" t="inlineStr">
        <is>
          <t>HISTORICAL_REPORT</t>
        </is>
      </c>
      <c r="U55" s="22" t="str"/>
    </row>
    <row r="56" ht="31" customHeight="1" s="82">
      <c r="A56" s="26" t="inlineStr">
        <is>
          <t>TAP-051</t>
        </is>
      </c>
      <c r="B56" s="22" t="inlineStr">
        <is>
          <t>Seguridad &amp; governance</t>
        </is>
      </c>
      <c r="C56" s="22" t="inlineStr">
        <is>
          <t>03 Runtime Authority</t>
        </is>
      </c>
      <c r="D56" s="22" t="inlineStr">
        <is>
          <t>CAPABILITY-REGISTRY</t>
        </is>
      </c>
      <c r="E56" s="22" t="inlineStr">
        <is>
          <t>Lista de agentes y permisos: sin capacidades EXEC/RISK</t>
        </is>
      </c>
      <c r="F56" s="22" t="inlineStr">
        <is>
          <t>VERIFICADO_FOCAL</t>
        </is>
      </c>
      <c r="G56" s="22" t="inlineStr">
        <is>
          <t>P0</t>
        </is>
      </c>
      <c r="H56" s="83" t="n">
        <v>1</v>
      </c>
      <c r="I56" s="22" t="n">
        <v>9</v>
      </c>
      <c r="J56" s="22" t="inlineStr">
        <is>
          <t>TAP-013</t>
        </is>
      </c>
      <c r="K56" s="22" t="inlineStr">
        <is>
          <t>Registro BOT-VIS y BOT-CTX; desactivados por defecto</t>
        </is>
      </c>
      <c r="L56" s="22" t="inlineStr">
        <is>
          <t>registry.py / b7e100a</t>
        </is>
      </c>
      <c r="M56" s="22" t="inlineStr">
        <is>
          <t>https://github.com/Extr3sao/bot_crypto/blob/agent/ai-bots/RFC-TAP-AI-BOTS-003/src/trading_bot/intelligence/ai_bots/registry.py</t>
        </is>
      </c>
      <c r="N56" s="22" t="inlineStr">
        <is>
          <t>Codex</t>
        </is>
      </c>
      <c r="O56" s="22" t="str"/>
      <c r="P56" s="22" t="str"/>
      <c r="Q56" s="22" t="inlineStr">
        <is>
          <t>2026-10-18</t>
        </is>
      </c>
      <c r="R56" s="28" t="str"/>
      <c r="S56" s="28" t="str"/>
      <c r="T56" s="22" t="inlineStr">
        <is>
          <t>REPO_REPORT</t>
        </is>
      </c>
      <c r="U56" s="22" t="str"/>
    </row>
    <row r="57" ht="31" customHeight="1" s="82">
      <c r="A57" s="26" t="inlineStr">
        <is>
          <t>TAP-052</t>
        </is>
      </c>
      <c r="B57" s="22" t="inlineStr">
        <is>
          <t>Seguridad &amp; governance</t>
        </is>
      </c>
      <c r="C57" s="22" t="inlineStr">
        <is>
          <t>10 Risk / Portfolio</t>
        </is>
      </c>
      <c r="D57" s="22" t="inlineStr">
        <is>
          <t>RISK-DEFENSIVE-GATES</t>
        </is>
      </c>
      <c r="E57" s="22" t="inlineStr">
        <is>
          <t>Verificar filtros spread/latency/weekend/ATR en ruta canónica</t>
        </is>
      </c>
      <c r="F57" s="22" t="inlineStr">
        <is>
          <t>VERIFICADO_FOCAL</t>
        </is>
      </c>
      <c r="G57" s="22" t="inlineStr">
        <is>
          <t>P0</t>
        </is>
      </c>
      <c r="H57" s="83" t="n">
        <v>1</v>
      </c>
      <c r="I57" s="22" t="n">
        <v>11</v>
      </c>
      <c r="J57" s="22" t="inlineStr">
        <is>
          <t>TAP-002</t>
        </is>
      </c>
      <c r="K57" s="22" t="inlineStr">
        <is>
          <t>PaperCycle defensivos fail closed; paridad AI delimitada</t>
        </is>
      </c>
      <c r="L57" s="22" t="inlineStr">
        <is>
          <t>EDGE-017 FINAL_REPORT</t>
        </is>
      </c>
      <c r="M57" s="22" t="inlineStr">
        <is>
          <t>https://github.com/Extr3sao/bot_crypto/blob/agent/edge-recovery/WP-EDGE-00-baseline/reports/economic-recovery/RFC-EDGE-017/FINAL_REPORT.md</t>
        </is>
      </c>
      <c r="N57" s="22" t="inlineStr">
        <is>
          <t>Codex</t>
        </is>
      </c>
      <c r="O57" s="22" t="str"/>
      <c r="P57" s="22" t="str"/>
      <c r="Q57" s="22" t="inlineStr">
        <is>
          <t>2026-10-18</t>
        </is>
      </c>
      <c r="R57" s="28" t="str"/>
      <c r="S57" s="28" t="str"/>
      <c r="T57" s="22" t="inlineStr">
        <is>
          <t>REPO_REPORT</t>
        </is>
      </c>
      <c r="U57" s="22" t="inlineStr">
        <is>
          <t>No equiparar automáticamente replay 1h con validación de spread/latencia.</t>
        </is>
      </c>
    </row>
    <row r="58" ht="31" customHeight="1" s="82">
      <c r="A58" s="26" t="inlineStr">
        <is>
          <t>TAP-053</t>
        </is>
      </c>
      <c r="B58" s="22" t="inlineStr">
        <is>
          <t>Seguridad &amp; governance</t>
        </is>
      </c>
      <c r="C58" s="22" t="inlineStr">
        <is>
          <t>10 Risk / Portfolio</t>
        </is>
      </c>
      <c r="D58" s="22" t="inlineStr">
        <is>
          <t>NO-LIVE-GATE</t>
        </is>
      </c>
      <c r="E58" s="22" t="inlineStr">
        <is>
          <t>Aprobación explícita para live/capital/riesgo/credenciales</t>
        </is>
      </c>
      <c r="F58" s="22" t="inlineStr">
        <is>
          <t>IMPLEMENTADO</t>
        </is>
      </c>
      <c r="G58" s="22" t="inlineStr">
        <is>
          <t>P0</t>
        </is>
      </c>
      <c r="H58" s="83" t="n">
        <v>1</v>
      </c>
      <c r="I58" s="22" t="n">
        <v>2</v>
      </c>
      <c r="J58" s="22" t="str"/>
      <c r="K58" s="22" t="inlineStr">
        <is>
          <t>Paper por defecto; permisos críticos bloqueados</t>
        </is>
      </c>
      <c r="L58" s="22" t="inlineStr">
        <is>
          <t>AGENTS + WP reports</t>
        </is>
      </c>
      <c r="M58" s="22" t="inlineStr">
        <is>
          <t>https://github.com/Extr3sao/bot_crypto/issues/12</t>
        </is>
      </c>
      <c r="N58" s="22" t="inlineStr">
        <is>
          <t>Codex</t>
        </is>
      </c>
      <c r="O58" s="22" t="str"/>
      <c r="P58" s="22" t="str"/>
      <c r="Q58" s="22" t="inlineStr">
        <is>
          <t>2026-10-18</t>
        </is>
      </c>
      <c r="R58" s="28" t="str"/>
      <c r="S58" s="28" t="str"/>
      <c r="T58" s="22" t="inlineStr">
        <is>
          <t>GOVERNANCE_POLICY</t>
        </is>
      </c>
      <c r="U58" s="22" t="str"/>
    </row>
    <row r="59" ht="31" customHeight="1" s="82">
      <c r="A59" s="26" t="inlineStr">
        <is>
          <t>TAP-054</t>
        </is>
      </c>
      <c r="B59" s="22" t="inlineStr">
        <is>
          <t>Producto &amp; UX</t>
        </is>
      </c>
      <c r="C59" s="22" t="inlineStr">
        <is>
          <t>14 Paper</t>
        </is>
      </c>
      <c r="D59" s="22" t="inlineStr">
        <is>
          <t>PAPER-DAILY-REPORT</t>
        </is>
      </c>
      <c r="E59" s="22" t="inlineStr">
        <is>
          <t>Reporte diario saldo, PnL neto, activos, motivos NO_TRADE</t>
        </is>
      </c>
      <c r="F59" s="22" t="inlineStr">
        <is>
          <t>PENDIENTE</t>
        </is>
      </c>
      <c r="G59" s="22" t="inlineStr">
        <is>
          <t>P1</t>
        </is>
      </c>
      <c r="H59" s="83" t="n">
        <v>0.25</v>
      </c>
      <c r="I59" s="22" t="n">
        <v>35</v>
      </c>
      <c r="J59" s="22" t="inlineStr">
        <is>
          <t>TAP-049; TAP-035</t>
        </is>
      </c>
      <c r="K59" s="22" t="inlineStr">
        <is>
          <t>No se ha demostrado rutina diaria automática continua</t>
        </is>
      </c>
      <c r="L59" s="22" t="inlineStr">
        <is>
          <t>TAP-EDGE-001</t>
        </is>
      </c>
      <c r="M59" s="22" t="inlineStr">
        <is>
          <t>https://github.com/Extr3sao/bot_crypto/issues/10</t>
        </is>
      </c>
      <c r="N59" s="22" t="inlineStr">
        <is>
          <t>Codex</t>
        </is>
      </c>
      <c r="O59" s="22" t="str"/>
      <c r="P59" s="22" t="str"/>
      <c r="Q59" s="22" t="inlineStr">
        <is>
          <t>2026-10-18</t>
        </is>
      </c>
      <c r="R59" s="28" t="inlineStr">
        <is>
          <t>Primer CSV/JSON diario de capturas/sesiones; interfaz opcional.</t>
        </is>
      </c>
      <c r="S59" s="28" t="str"/>
      <c r="T59" s="22" t="inlineStr">
        <is>
          <t>REPO_REPORT</t>
        </is>
      </c>
      <c r="U59" s="22" t="str"/>
    </row>
    <row r="60" ht="31" customHeight="1" s="82">
      <c r="A60" s="26" t="inlineStr">
        <is>
          <t>TAP-055</t>
        </is>
      </c>
      <c r="B60" s="22" t="inlineStr">
        <is>
          <t>Producto &amp; UX</t>
        </is>
      </c>
      <c r="C60" s="22" t="inlineStr">
        <is>
          <t>15 Shadow / Canary</t>
        </is>
      </c>
      <c r="D60" s="22" t="inlineStr">
        <is>
          <t>PROMOTION-GATES</t>
        </is>
      </c>
      <c r="E60" s="22" t="inlineStr">
        <is>
          <t>Shadow → canary → limited → prod con rollback y verificador</t>
        </is>
      </c>
      <c r="F60" s="22" t="inlineStr">
        <is>
          <t>PLANIFICADO</t>
        </is>
      </c>
      <c r="G60" s="22" t="inlineStr">
        <is>
          <t>P2</t>
        </is>
      </c>
      <c r="H60" s="83" t="n">
        <v>0</v>
      </c>
      <c r="I60" s="22" t="n">
        <v>54</v>
      </c>
      <c r="J60" s="22" t="inlineStr">
        <is>
          <t>TAP-041; TAP-048</t>
        </is>
      </c>
      <c r="K60" s="22" t="inlineStr">
        <is>
          <t>Producción sin autorización; no certificar READY</t>
        </is>
      </c>
      <c r="L60" s="22" t="inlineStr">
        <is>
          <t>Arquitectura VNext</t>
        </is>
      </c>
      <c r="M60" s="22" t="inlineStr">
        <is>
          <t>https://github.com/Extr3sao/bot_crypto/issues/10</t>
        </is>
      </c>
      <c r="N60" s="22" t="inlineStr">
        <is>
          <t>Codex</t>
        </is>
      </c>
      <c r="O60" s="22" t="str"/>
      <c r="P60" s="22" t="str"/>
      <c r="Q60" s="22" t="inlineStr">
        <is>
          <t>2026-10-18</t>
        </is>
      </c>
      <c r="R60" s="28" t="inlineStr">
        <is>
          <t>Mantener PAPER hasta robustez/out-of-sample/approval.</t>
        </is>
      </c>
      <c r="S60" s="28" t="str"/>
      <c r="T60" s="22" t="inlineStr">
        <is>
          <t>DESIGN_ONLY</t>
        </is>
      </c>
      <c r="U60" s="22" t="str"/>
    </row>
    <row r="61" ht="31" customHeight="1" s="82">
      <c r="A61" s="26" t="inlineStr">
        <is>
          <t>TAP-056</t>
        </is>
      </c>
      <c r="B61" s="22" t="inlineStr">
        <is>
          <t>Roadmap vivo</t>
        </is>
      </c>
      <c r="C61" s="22" t="inlineStr">
        <is>
          <t>12 Observabilidad</t>
        </is>
      </c>
      <c r="D61" s="22" t="inlineStr">
        <is>
          <t>ROADMAP-MASTER-001</t>
        </is>
      </c>
      <c r="E61" s="22" t="inlineStr">
        <is>
          <t>Inventario maestro Excel + JSON canónico y changelog</t>
        </is>
      </c>
      <c r="F61" s="22" t="inlineStr">
        <is>
          <t>IMPLEMENTADO</t>
        </is>
      </c>
      <c r="G61" s="22" t="inlineStr">
        <is>
          <t>P0</t>
        </is>
      </c>
      <c r="H61" s="83" t="n">
        <v>1</v>
      </c>
      <c r="I61" s="22" t="n">
        <v>0</v>
      </c>
      <c r="J61" s="22" t="str"/>
      <c r="K61" s="22" t="inlineStr">
        <is>
          <t>Registro inicial 2026-10-18, rama de gestión aislada</t>
        </is>
      </c>
      <c r="L61" s="22" t="inlineStr">
        <is>
          <t>ROADMAP_TRADING_AGENTIC_PORTABLE.xlsx</t>
        </is>
      </c>
      <c r="M61" s="22" t="inlineStr">
        <is>
          <t>https://github.com/Extr3sao/bot_crypto</t>
        </is>
      </c>
      <c r="N61" s="22" t="inlineStr">
        <is>
          <t>ChatGPT + Codex</t>
        </is>
      </c>
      <c r="O61" s="22" t="str"/>
      <c r="P61" s="22" t="str"/>
      <c r="Q61" s="22" t="inlineStr">
        <is>
          <t>2026-10-18</t>
        </is>
      </c>
      <c r="R61" s="28" t="inlineStr">
        <is>
          <t>Actualizar tras cada commit/RFC/WP con ejecución y evidencia.</t>
        </is>
      </c>
      <c r="S61" s="28" t="str"/>
      <c r="T61" s="22" t="inlineStr">
        <is>
          <t>PROJECT_MANAGEMENT</t>
        </is>
      </c>
      <c r="U61" s="22" t="inlineStr">
        <is>
          <t>Roadmap en Biblioteca y rama GitHub de gestión; cambios versionados. Se actualiza al compartir nuevo progreso, no por monitorización continua no configurada.</t>
        </is>
      </c>
    </row>
    <row r="62" ht="31" customHeight="1" s="82">
      <c r="A62" s="26" t="inlineStr">
        <is>
          <t>TAP-057</t>
        </is>
      </c>
      <c r="B62" s="22" t="inlineStr">
        <is>
          <t>Roadmap vivo</t>
        </is>
      </c>
      <c r="C62" s="22" t="inlineStr">
        <is>
          <t>12 Observabilidad</t>
        </is>
      </c>
      <c r="D62" s="22" t="inlineStr">
        <is>
          <t>ROADMAP-MASTER-001</t>
        </is>
      </c>
      <c r="E62" s="22" t="inlineStr">
        <is>
          <t>Sincronizar Excel del roadmap a rama GitHub del proyecto</t>
        </is>
      </c>
      <c r="F62" s="22" t="inlineStr">
        <is>
          <t>VERIFICADO_FOCAL</t>
        </is>
      </c>
      <c r="G62" s="22" t="inlineStr">
        <is>
          <t>P0</t>
        </is>
      </c>
      <c r="H62" s="83" t="n">
        <v>1</v>
      </c>
      <c r="I62" s="22" t="n">
        <v>1</v>
      </c>
      <c r="J62" s="22" t="inlineStr">
        <is>
          <t>TAP-056</t>
        </is>
      </c>
      <c r="K62" s="22" t="inlineStr">
        <is>
          <t>Excel binario y JSON/CSV publicados por Git blob SHA; rama independiente; merge a main pendiente</t>
        </is>
      </c>
      <c r="L62" s="22" t="inlineStr">
        <is>
          <t>PR #15 · 8597750 + revisión v1.2</t>
        </is>
      </c>
      <c r="M62" s="22" t="inlineStr">
        <is>
          <t>https://github.com/Extr3sao/bot_crypto/pull/15</t>
        </is>
      </c>
      <c r="N62" s="22" t="inlineStr">
        <is>
          <t>ChatGPT</t>
        </is>
      </c>
      <c r="O62" s="22" t="str"/>
      <c r="P62" s="22" t="str"/>
      <c r="Q62" s="22" t="inlineStr">
        <is>
          <t>2026-10-18</t>
        </is>
      </c>
      <c r="R62" s="28" t="inlineStr">
        <is>
          <t>Actualización incremental del Excel tras cada nueva fase; valorar PR a main</t>
        </is>
      </c>
      <c r="S62" s="28" t="str"/>
      <c r="T62" s="22" t="inlineStr">
        <is>
          <t>PROJECT_MANAGEMENT</t>
        </is>
      </c>
      <c r="U62" s="22" t="inlineStr">
        <is>
          <t>Excel+JSON+CSV en rama project/roadmap-trading-agentic, PR no fusionado a main. Revision v1.2 añade UX consolas invisibles.</t>
        </is>
      </c>
    </row>
    <row r="63" ht="31" customHeight="1" s="82">
      <c r="A63" s="26" t="inlineStr">
        <is>
          <t>TAP-058</t>
        </is>
      </c>
      <c r="B63" s="22" t="inlineStr">
        <is>
          <t>Rentabilidad</t>
        </is>
      </c>
      <c r="C63" s="22" t="inlineStr">
        <is>
          <t>13 Agent Utility</t>
        </is>
      </c>
      <c r="D63" s="22" t="inlineStr">
        <is>
          <t>ECONOMIC-VIS-CTX</t>
        </is>
      </c>
      <c r="E63" s="22" t="inlineStr">
        <is>
          <t>Validar resultados positivos para IA real frente a CASH/determinista</t>
        </is>
      </c>
      <c r="F63" s="22" t="inlineStr">
        <is>
          <t>BLOQUEADO</t>
        </is>
      </c>
      <c r="G63" s="22" t="inlineStr">
        <is>
          <t>P0</t>
        </is>
      </c>
      <c r="H63" s="83" t="n">
        <v>0</v>
      </c>
      <c r="I63" s="22" t="n">
        <v>39</v>
      </c>
      <c r="J63" s="22" t="inlineStr">
        <is>
          <t>TAP-025; TAP-026; TAP-041</t>
        </is>
      </c>
      <c r="K63" s="22" t="inlineStr">
        <is>
          <t>Sin muestras de IA real; replay mock NETO negativo</t>
        </is>
      </c>
      <c r="L63" s="22" t="inlineStr">
        <is>
          <t>003B mock -15.68 y 003C -97.93 (escenarios distintos)</t>
        </is>
      </c>
      <c r="M63" s="22" t="inlineStr">
        <is>
          <t>https://github.com/Extr3sao/bot_crypto/blob/agent/ai-bots/RFC-TAP-AI-BOTS-003/reports/ai-bots/RFC-AI-BOTS-003/BLOCK-C/FINAL_REPORT.md</t>
        </is>
      </c>
      <c r="N63" s="22" t="inlineStr">
        <is>
          <t>Codex</t>
        </is>
      </c>
      <c r="O63" s="22" t="str"/>
      <c r="P63" s="22" t="str"/>
      <c r="Q63" s="22" t="inlineStr">
        <is>
          <t>2026-10-18</t>
        </is>
      </c>
      <c r="R63" s="28" t="inlineStr">
        <is>
          <t>Medir eficacia de IA real + costes; si no mejora descartar.</t>
        </is>
      </c>
      <c r="S63" s="28" t="inlineStr">
        <is>
          <t>Real model call 0, prosp paper no validado.</t>
        </is>
      </c>
      <c r="T63" s="22" t="inlineStr">
        <is>
          <t>ECONOMIC_REPLAY</t>
        </is>
      </c>
      <c r="U63" s="22" t="str"/>
    </row>
    <row r="64" ht="31" customHeight="1" s="82">
      <c r="A64" s="26" t="inlineStr">
        <is>
          <t>TAP-059</t>
        </is>
      </c>
      <c r="B64" s="22" t="inlineStr">
        <is>
          <t>Multi-asset</t>
        </is>
      </c>
      <c r="C64" s="22" t="inlineStr">
        <is>
          <t>08 Strategy Intelligence</t>
        </is>
      </c>
      <c r="D64" s="22" t="inlineStr">
        <is>
          <t>ROUTER-MULTI-ASSET</t>
        </is>
      </c>
      <c r="E64" s="22" t="inlineStr">
        <is>
          <t>Comparabilidad entre activos/cadencias/regímenes y capacidad multiasset</t>
        </is>
      </c>
      <c r="F64" s="22" t="inlineStr">
        <is>
          <t>PLANIFICADO</t>
        </is>
      </c>
      <c r="G64" s="22" t="inlineStr">
        <is>
          <t>P1</t>
        </is>
      </c>
      <c r="H64" s="83" t="n">
        <v>0.3</v>
      </c>
      <c r="I64" s="22" t="n">
        <v>28</v>
      </c>
      <c r="J64" s="22" t="inlineStr">
        <is>
          <t>TAP-032; TAP-034</t>
        </is>
      </c>
      <c r="K64" s="22" t="inlineStr">
        <is>
          <t>Dos activos AI en replay; exposición multiasset e2e pendiente</t>
        </is>
      </c>
      <c r="L64" s="22" t="inlineStr">
        <is>
          <t>BLOCK-C real AAVE/UNI</t>
        </is>
      </c>
      <c r="M64" s="22" t="inlineStr">
        <is>
          <t>https://github.com/Extr3sao/bot_crypto/blob/agent/ai-bots/RFC-TAP-AI-BOTS-003/reports/ai-bots/RFC-AI-BOTS-003/BLOCK-C/FINAL_REPORT.md</t>
        </is>
      </c>
      <c r="N64" s="22" t="inlineStr">
        <is>
          <t>Codex</t>
        </is>
      </c>
      <c r="O64" s="22" t="str"/>
      <c r="P64" s="22" t="str"/>
      <c r="Q64" s="22" t="inlineStr">
        <is>
          <t>2026-10-18</t>
        </is>
      </c>
      <c r="R64" s="28" t="inlineStr">
        <is>
          <t>Evitar filtraciones HTF y falsos cruces multiasset.</t>
        </is>
      </c>
      <c r="S64" s="28" t="str"/>
      <c r="T64" s="22" t="inlineStr">
        <is>
          <t>SOURCE_AND_TESTS</t>
        </is>
      </c>
      <c r="U64" s="22" t="str"/>
    </row>
    <row r="65" ht="31" customHeight="1" s="82">
      <c r="A65" s="26" t="inlineStr">
        <is>
          <t>TAP-060</t>
        </is>
      </c>
      <c r="B65" s="22" t="inlineStr">
        <is>
          <t>Investigación externa</t>
        </is>
      </c>
      <c r="C65" s="22" t="inlineStr">
        <is>
          <t>01 Research</t>
        </is>
      </c>
      <c r="D65" s="22" t="inlineStr">
        <is>
          <t>REA-TARGET-REGISTRY</t>
        </is>
      </c>
      <c r="E65" s="22" t="inlineStr">
        <is>
          <t>Mantener source_registry y decisiones ADOPT/EXPERIMENT/REJECT</t>
        </is>
      </c>
      <c r="F65" s="22" t="inlineStr">
        <is>
          <t>VERIFICADO_FOCAL</t>
        </is>
      </c>
      <c r="G65" s="22" t="inlineStr">
        <is>
          <t>P1</t>
        </is>
      </c>
      <c r="H65" s="83" t="n">
        <v>1</v>
      </c>
      <c r="I65" s="22" t="n">
        <v>6</v>
      </c>
      <c r="J65" s="22" t="inlineStr">
        <is>
          <t>TAP-008</t>
        </is>
      </c>
      <c r="K65" s="22" t="inlineStr">
        <is>
          <t>Fenix Apache-2.0, nof1 AGPL; no copiar antipatrones</t>
        </is>
      </c>
      <c r="L65" s="22" t="inlineStr">
        <is>
          <t>source_registry.md</t>
        </is>
      </c>
      <c r="M65" s="22" t="inlineStr">
        <is>
          <t>https://github.com/Extr3sao/bot_crypto/blob/agent/ai-vision/RFC-AI-VISION-001/reports/ai-bots/RFC-AI-BOTS-002/source_registry.md</t>
        </is>
      </c>
      <c r="N65" s="22" t="inlineStr">
        <is>
          <t>Codex</t>
        </is>
      </c>
      <c r="O65" s="22" t="str"/>
      <c r="P65" s="22" t="str"/>
      <c r="Q65" s="22" t="inlineStr">
        <is>
          <t>2026-10-18</t>
        </is>
      </c>
      <c r="R65" s="28" t="str"/>
      <c r="S65" s="28" t="str"/>
      <c r="T65" s="22" t="inlineStr">
        <is>
          <t>REPO_REPORT</t>
        </is>
      </c>
      <c r="U65" s="22" t="str"/>
    </row>
    <row r="66">
      <c r="A66" t="inlineStr">
        <is>
          <t>TAP-061</t>
        </is>
      </c>
      <c r="B66" t="inlineStr">
        <is>
          <t>Infra &amp; experiencia Windows</t>
        </is>
      </c>
      <c r="C66" t="inlineStr">
        <is>
          <t>03 Runtime Authority</t>
        </is>
      </c>
      <c r="D66" t="inlineStr">
        <is>
          <t>WP-OPS-BACKGROUND-001</t>
        </is>
      </c>
      <c r="E66" t="inlineStr">
        <is>
          <t>Ejecución de Python y supervisores internos sin nuevas consolas Windows</t>
        </is>
      </c>
      <c r="F66" t="inlineStr">
        <is>
          <t>VERIFICADO_FOCAL</t>
        </is>
      </c>
      <c r="G66" t="inlineStr">
        <is>
          <t>P1</t>
        </is>
      </c>
      <c r="H66" t="n">
        <v>0.85</v>
      </c>
      <c r="I66" t="n">
        <v>12</v>
      </c>
      <c r="J66" t="inlineStr">
        <is>
          <t>TAP-044; TAP-049</t>
        </is>
      </c>
      <c r="K66" t="inlineStr">
        <is>
          <t>13 pruebas ops; 0 HIGH; 335 tests focales; logs/exit/timeout; visual NOT_OBSERVABLE</t>
        </is>
      </c>
      <c r="L66" t="inlineStr">
        <is>
          <t>fe9b5e2 · RUN_REPORT.json · FINAL_REPORT.md</t>
        </is>
      </c>
      <c r="M66" t="inlineStr">
        <is>
          <t>https://github.com/Extr3sao/bot_crypto/blob/agent/ai-bots/RFC-TAP-AI-BOTS-003/reports/ops/WP-OPS-BACKGROUND-001/FINAL_REPORT.md</t>
        </is>
      </c>
      <c r="N66" t="inlineStr">
        <is>
          <t>Codex</t>
        </is>
      </c>
      <c r="Q66" t="inlineStr">
        <is>
          <t>2026-10-18</t>
        </is>
      </c>
      <c r="R66" t="inlineStr">
        <is>
          <t>Mantener windowless y comprobar experiencia visual después de corregir Freebuff.</t>
        </is>
      </c>
      <c r="S66" t="inlineStr">
        <is>
          <t>Freebuff Bun.spawn sin windowsHide; prueba visual NOT_OBSERVABLE; Scheduler no instalado.</t>
        </is>
      </c>
      <c r="T66" t="inlineStr">
        <is>
          <t>REAL_RUNTIME_FOCAL</t>
        </is>
      </c>
      <c r="U66" t="inlineStr">
        <is>
          <t>Origin PE confirmado Freebuff GUI→bun CONSOLE→bash; wrapper propio CREATE_NO_WINDOW+SW_HIDE; 324 MEDIUM: 303 subprocess.run, 20 bat/cmd, 1 probe.</t>
        </is>
      </c>
    </row>
    <row r="67">
      <c r="A67" t="inlineStr">
        <is>
          <t>TAP-062</t>
        </is>
      </c>
      <c r="B67" t="inlineStr">
        <is>
          <t>Infra &amp; experiencia Windows</t>
        </is>
      </c>
      <c r="C67" t="inlineStr">
        <is>
          <t>03 Runtime Authority</t>
        </is>
      </c>
      <c r="D67" t="inlineStr">
        <is>
          <t>FREEBUFF-WINDOWSHIDE</t>
        </is>
      </c>
      <c r="E67" t="inlineStr">
        <is>
          <t>Eliminar ventanas Bash/CMD abiertas por Freebuff/Codebuff al invocar Bun.spawn</t>
        </is>
      </c>
      <c r="F67" t="inlineStr">
        <is>
          <t>BLOQUEADO</t>
        </is>
      </c>
      <c r="G67" t="inlineStr">
        <is>
          <t>P1</t>
        </is>
      </c>
      <c r="H67" t="n">
        <v>0.25</v>
      </c>
      <c r="I67" t="n">
        <v>13</v>
      </c>
      <c r="J67" t="inlineStr">
        <is>
          <t>TAP-061</t>
        </is>
      </c>
      <c r="K67" t="inlineStr">
        <is>
          <t>No aparecen popups en arranque real desde Freebuff GUI; pruebas visuales independientes y logs intactos</t>
        </is>
      </c>
      <c r="L67" t="inlineStr">
        <is>
          <t>fe9b5e2 · WINDOWLESS_EXECUTION.md · WINDOWLESS_LIVE_PROBE.json</t>
        </is>
      </c>
      <c r="M67" t="inlineStr">
        <is>
          <t>https://github.com/Extr3sao/bot_crypto/blob/agent/ai-bots/RFC-TAP-AI-BOTS-003/docs/runtime/WINDOWLESS_EXECUTION.md</t>
        </is>
      </c>
      <c r="N67" t="inlineStr">
        <is>
          <t>Proveedor Freebuff/Codebuff</t>
        </is>
      </c>
      <c r="Q67" t="inlineStr">
        <is>
          <t>2026-10-18</t>
        </is>
      </c>
      <c r="R67" t="inlineStr">
        <is>
          <t>Solicitar corrección oficial de Bun.spawn con windowsHide:true; repetir prueba visual Windows.</t>
        </is>
      </c>
      <c r="S67" t="inlineStr">
        <is>
          <t>Bun.spawn sin windowsHide en Freebuff Desktop 0.0.173; sin ajustar binarios firmados.</t>
        </is>
      </c>
      <c r="T67" t="inlineStr">
        <is>
          <t>EXTERNAL_RUNTIME_DIAGNOSIS</t>
        </is>
      </c>
      <c r="U67" t="inlineStr">
        <is>
          <t>Causa demostrada por cadena de padres y subsistemas PE; mitigación lanzar Freebuff desde terminal existente, no solución definitiva.</t>
        </is>
      </c>
    </row>
    <row r="68">
      <c r="A68" t="inlineStr">
        <is>
          <t>TAP-063</t>
        </is>
      </c>
      <c r="B68" t="inlineStr">
        <is>
          <t>Infra &amp; experiencia Windows</t>
        </is>
      </c>
      <c r="C68" t="inlineStr">
        <is>
          <t>03 Runtime Authority</t>
        </is>
      </c>
      <c r="D68" t="inlineStr">
        <is>
          <t>WP-OPS-BACKGROUND-001</t>
        </is>
      </c>
      <c r="E68" t="inlineStr">
        <is>
          <t>Activar y validar tarea programada con pythonw.exe y lanzador sin consola</t>
        </is>
      </c>
      <c r="F68" t="inlineStr">
        <is>
          <t>PENDIENTE</t>
        </is>
      </c>
      <c r="G68" t="inlineStr">
        <is>
          <t>P1</t>
        </is>
      </c>
      <c r="H68" t="n">
        <v>0.55</v>
      </c>
      <c r="I68" t="n">
        <v>14</v>
      </c>
      <c r="J68" t="inlineStr">
        <is>
          <t>TAP-061</t>
        </is>
      </c>
      <c r="K68" t="inlineStr">
        <is>
          <t>XML y argumentos probados; tarea instalada y ejecución visual verificada con cancelación limpia</t>
        </is>
      </c>
      <c r="L68" t="inlineStr">
        <is>
          <t>fe9b5e2 · scripts/cap004_supervisor.py · RUN_REPORT.json</t>
        </is>
      </c>
      <c r="M68" t="inlineStr">
        <is>
          <t>https://github.com/Extr3sao/bot_crypto/blob/agent/ai-bots/RFC-TAP-AI-BOTS-003/reports/ops/WP-OPS-BACKGROUND-001/RUN_REPORT.json</t>
        </is>
      </c>
      <c r="N68" t="inlineStr">
        <is>
          <t>Codex</t>
        </is>
      </c>
      <c r="Q68" t="inlineStr">
        <is>
          <t>2026-10-18</t>
        </is>
      </c>
      <c r="R68" t="inlineStr">
        <is>
          <t>Instalación en host autorizada, test GUI de scheduler y evidencia independiente.</t>
        </is>
      </c>
      <c r="S68" t="inlineStr">
        <is>
          <t>Tarea no registrada en Windows: modificación del host con privilegios pendiente.</t>
        </is>
      </c>
      <c r="T68" t="inlineStr">
        <is>
          <t>IMPLEMENTED_NOT_DEPLOYED</t>
        </is>
      </c>
      <c r="U68" t="inlineStr">
        <is>
          <t>Código y pruebas preparados, pero Task Scheduler no modificado. No desplegar sin autorización.</t>
        </is>
      </c>
    </row>
    <row r="69">
      <c r="A69" t="inlineStr">
        <is>
          <t>TAP-064</t>
        </is>
      </c>
      <c r="B69" t="inlineStr">
        <is>
          <t>Datos de mercado</t>
        </is>
      </c>
      <c r="C69" t="inlineStr">
        <is>
          <t>03 Runtime Authority</t>
        </is>
      </c>
      <c r="D69" t="inlineStr">
        <is>
          <t>RFC-TAP-MARKET-005 / 005A</t>
        </is>
      </c>
      <c r="E69" t="inlineStr">
        <is>
          <t>Atribuir fetch_ohlcv y tareas reales a PID/PPID, owner, consumidor y run_id</t>
        </is>
      </c>
      <c r="F69" t="inlineStr">
        <is>
          <t>VERIFICADO_FOCAL</t>
        </is>
      </c>
      <c r="G69" t="inlineStr">
        <is>
          <t>P0</t>
        </is>
      </c>
      <c r="H69" t="n">
        <v>1</v>
      </c>
      <c r="I69" t="n">
        <v>4</v>
      </c>
      <c r="J69" t="inlineStr">
        <is>
          <t>TAP-061; TAP-063</t>
        </is>
      </c>
      <c r="K69" t="inlineStr">
        <is>
          <t>6 tareas Ready PT15M; 5 lanzan python.exe; solo real_market_context usa 1000/500/500; captura NOT_ATTRIBUTABLE</t>
        </is>
      </c>
      <c r="L69" t="inlineStr">
        <is>
          <t>c6bb431 / SCHEDULER_INVENTORY.json + FETCH_PROCESS_TRACE.jsonl</t>
        </is>
      </c>
      <c r="M69" t="inlineStr">
        <is>
          <t>https://github.com/Extr3sao/bot_crypto/issues/16</t>
        </is>
      </c>
      <c r="N69" t="inlineStr">
        <is>
          <t>Codex</t>
        </is>
      </c>
      <c r="Q69" t="inlineStr">
        <is>
          <t>2026-10-18</t>
        </is>
      </c>
      <c r="R69" t="inlineStr">
        <is>
          <t>WP-005H solo con autorización</t>
        </is>
      </c>
      <c r="S69" t="inlineStr">
        <is>
          <t>Host no modificado</t>
        </is>
      </c>
      <c r="T69" t="inlineStr">
        <is>
          <t>REPO_REPORT</t>
        </is>
      </c>
      <c r="U69" t="inlineStr">
        <is>
          <t>Corrige WP-OPS-BACKGROUND-001: la tarea CAP004 sí estaba instalada; 1080 NOOP / 1 RUN.</t>
        </is>
      </c>
    </row>
    <row r="70">
      <c r="A70" t="inlineStr">
        <is>
          <t>TAP-065</t>
        </is>
      </c>
      <c r="B70" t="inlineStr">
        <is>
          <t>Datos de mercado</t>
        </is>
      </c>
      <c r="C70" t="inlineStr">
        <is>
          <t>03 Runtime Authority</t>
        </is>
      </c>
      <c r="D70" t="inlineStr">
        <is>
          <t>RFC-TAP-MARKET-005 / 005B</t>
        </is>
      </c>
      <c r="E70" t="inlineStr">
        <is>
          <t>Medir coste y cobertura de recargas de históricos 1h/4h/1d y readers actuales</t>
        </is>
      </c>
      <c r="F70" t="inlineStr">
        <is>
          <t>VERIFICADO_FOCAL</t>
        </is>
      </c>
      <c r="G70" t="inlineStr">
        <is>
          <t>P0</t>
        </is>
      </c>
      <c r="H70" t="n">
        <v>1</v>
      </c>
      <c r="I70" t="n">
        <v>5</v>
      </c>
      <c r="J70" t="inlineStr">
        <is>
          <t>TAP-064</t>
        </is>
      </c>
      <c r="K70" t="inlineStr">
        <is>
          <t>1164 peticiones / 770312 velas / 133,32 MiB por día; bytes medidos por forma de petición</t>
        </is>
      </c>
      <c r="L70" t="inlineStr">
        <is>
          <t>c6bb431 / CURRENT_VS_PROPOSED.json</t>
        </is>
      </c>
      <c r="M70" t="inlineStr">
        <is>
          <t>https://github.com/Extr3sao/bot_crypto/issues/16</t>
        </is>
      </c>
      <c r="N70" t="inlineStr">
        <is>
          <t>Codex</t>
        </is>
      </c>
      <c r="Q70" t="inlineStr">
        <is>
          <t>2026-10-18</t>
        </is>
      </c>
      <c r="T70" t="inlineStr">
        <is>
          <t>REPO_REPORT</t>
        </is>
      </c>
      <c r="U70" t="inlineStr">
        <is>
          <t>Ventana de 24h sobre fixture real capturado el 2026-10-18.</t>
        </is>
      </c>
    </row>
    <row r="71">
      <c r="A71" t="inlineStr">
        <is>
          <t>TAP-066</t>
        </is>
      </c>
      <c r="B71" t="inlineStr">
        <is>
          <t>Datos de mercado</t>
        </is>
      </c>
      <c r="C71" t="inlineStr">
        <is>
          <t>03 Runtime Authority</t>
        </is>
      </c>
      <c r="D71" t="inlineStr">
        <is>
          <t>RFC-TAP-MARKET-005 / 005C</t>
        </is>
      </c>
      <c r="E71" t="inlineStr">
        <is>
          <t>Bootstrapping limitado e ingestión incremental con watermark y correcciones</t>
        </is>
      </c>
      <c r="F71" t="inlineStr">
        <is>
          <t>IMPLEMENTADO</t>
        </is>
      </c>
      <c r="G71" t="inlineStr">
        <is>
          <t>P0</t>
        </is>
      </c>
      <c r="H71" t="n">
        <v>1</v>
      </c>
      <c r="I71" t="n">
        <v>6</v>
      </c>
      <c r="J71" t="inlineStr">
        <is>
          <t>TAP-065</t>
        </is>
      </c>
      <c r="K71" t="inlineStr">
        <is>
          <t>136 peticiones (-88,3%) y 8496 velas (-98,9%) con 12/12 ventanas idénticas</t>
        </is>
      </c>
      <c r="L71" t="inlineStr">
        <is>
          <t>c6bb431 / src/trading_bot/market_data/incremental.py</t>
        </is>
      </c>
      <c r="M71" t="inlineStr">
        <is>
          <t>https://github.com/Extr3sao/bot_crypto/issues/16</t>
        </is>
      </c>
      <c r="N71" t="inlineStr">
        <is>
          <t>Codex</t>
        </is>
      </c>
      <c r="Q71" t="inlineStr">
        <is>
          <t>2026-10-18</t>
        </is>
      </c>
      <c r="R71" t="inlineStr">
        <is>
          <t>Activar en host vía WP-005H</t>
        </is>
      </c>
      <c r="S71" t="inlineStr">
        <is>
          <t>No activado en el host</t>
        </is>
      </c>
      <c r="T71" t="inlineStr">
        <is>
          <t>UNIT_TESTED</t>
        </is>
      </c>
      <c r="U71" t="inlineStr">
        <is>
          <t>28 tests nuevos; el provider no expone since: delta acotado + dedupe.</t>
        </is>
      </c>
    </row>
    <row r="72">
      <c r="A72" t="inlineStr">
        <is>
          <t>TAP-067</t>
        </is>
      </c>
      <c r="B72" t="inlineStr">
        <is>
          <t>Market Intelligence</t>
        </is>
      </c>
      <c r="C72" t="inlineStr">
        <is>
          <t>06 Market Intelligence</t>
        </is>
      </c>
      <c r="D72" t="inlineStr">
        <is>
          <t>RFC-TAP-MARKET-005 / 005D</t>
        </is>
      </c>
      <c r="E72" t="inlineStr">
        <is>
          <t>MarketSnapshot causal para bots visual/contextual y runtime PAPER/SHADOW</t>
        </is>
      </c>
      <c r="F72" t="inlineStr">
        <is>
          <t>IMPLEMENTADO</t>
        </is>
      </c>
      <c r="G72" t="inlineStr">
        <is>
          <t>P0</t>
        </is>
      </c>
      <c r="H72" t="n">
        <v>1</v>
      </c>
      <c r="I72" t="n">
        <v>7</v>
      </c>
      <c r="J72" t="inlineStr">
        <is>
          <t>TAP-066; TAP-022; TAP-024</t>
        </is>
      </c>
      <c r="K72" t="inlineStr">
        <is>
          <t>4/4 snapshots causales; HTF futuro excluido; available_at_ms &lt;= decision_ms</t>
        </is>
      </c>
      <c r="L72" t="inlineStr">
        <is>
          <t>c6bb431 / snapshot.py + SNAPSHOT_GATE_REPORT.json</t>
        </is>
      </c>
      <c r="M72" t="inlineStr">
        <is>
          <t>https://github.com/Extr3sao/bot_crypto/issues/16</t>
        </is>
      </c>
      <c r="N72" t="inlineStr">
        <is>
          <t>Codex</t>
        </is>
      </c>
      <c r="Q72" t="inlineStr">
        <is>
          <t>2026-10-18</t>
        </is>
      </c>
      <c r="R72" t="inlineStr">
        <is>
          <t>Integrar en runtime PAPER/SHADOW</t>
        </is>
      </c>
      <c r="S72" t="inlineStr">
        <is>
          <t>Estrategia no admitida</t>
        </is>
      </c>
      <c r="T72" t="inlineStr">
        <is>
          <t>UNIT_TESTED</t>
        </is>
      </c>
      <c r="U72" t="inlineStr">
        <is>
          <t>OHLCVStore no tenía dimensión de timeframe; se añadió una vista, no se cambió el esquema.</t>
        </is>
      </c>
    </row>
    <row r="73">
      <c r="A73" t="inlineStr">
        <is>
          <t>TAP-068</t>
        </is>
      </c>
      <c r="B73" t="inlineStr">
        <is>
          <t>Market Intelligence</t>
        </is>
      </c>
      <c r="C73" t="inlineStr">
        <is>
          <t>09 Decision/Critic</t>
        </is>
      </c>
      <c r="D73" t="inlineStr">
        <is>
          <t>RFC-TAP-MARKET-005 / 005E</t>
        </is>
      </c>
      <c r="E73" t="inlineStr">
        <is>
          <t>Disparadores IA por evento de mercado y cuotas, deduplicación y control de costes</t>
        </is>
      </c>
      <c r="F73" t="inlineStr">
        <is>
          <t>IMPLEMENTADO</t>
        </is>
      </c>
      <c r="G73" t="inlineStr">
        <is>
          <t>P0</t>
        </is>
      </c>
      <c r="H73" t="n">
        <v>1</v>
      </c>
      <c r="I73" t="n">
        <v>8</v>
      </c>
      <c r="J73" t="inlineStr">
        <is>
          <t>TAP-067; TAP-023; TAP-025</t>
        </is>
      </c>
      <c r="K73" t="inlineStr">
        <is>
          <t>4 decisiones, 0 triggers, 0 llamadas; MISSING_CREDENTIAL con credencial ausente</t>
        </is>
      </c>
      <c r="L73" t="inlineStr">
        <is>
          <t>c6bb431 / market_events.py + AI_TRIGGER_LEDGER.jsonl</t>
        </is>
      </c>
      <c r="M73" t="inlineStr">
        <is>
          <t>https://github.com/Extr3sao/bot_crypto/issues/16</t>
        </is>
      </c>
      <c r="N73" t="inlineStr">
        <is>
          <t>Codex</t>
        </is>
      </c>
      <c r="Q73" t="inlineStr">
        <is>
          <t>2026-10-18</t>
        </is>
      </c>
      <c r="R73" t="inlineStr">
        <is>
          <t>Proveedor real autorizado</t>
        </is>
      </c>
      <c r="S73" t="inlineStr">
        <is>
          <t>BL-01 MODEL_API_UNAVAILABLE</t>
        </is>
      </c>
      <c r="T73" t="inlineStr">
        <is>
          <t>UNIT_TESTED</t>
        </is>
      </c>
      <c r="U73" t="inlineStr">
        <is>
          <t>REAL_MODEL_CALLED=false; verificado solo offline.</t>
        </is>
      </c>
    </row>
    <row r="74">
      <c r="A74" t="inlineStr">
        <is>
          <t>TAP-069</t>
        </is>
      </c>
      <c r="B74" t="inlineStr">
        <is>
          <t>Datos de mercado</t>
        </is>
      </c>
      <c r="C74" t="inlineStr">
        <is>
          <t>12 Observabilidad</t>
        </is>
      </c>
      <c r="D74" t="inlineStr">
        <is>
          <t>RFC-TAP-MARKET-005 / 005F</t>
        </is>
      </c>
      <c r="E74" t="inlineStr">
        <is>
          <t>Clasificar redundancias y proponer desactivaciones seguras por evidencia</t>
        </is>
      </c>
      <c r="F74" t="inlineStr">
        <is>
          <t>VERIFICADO_FOCAL</t>
        </is>
      </c>
      <c r="G74" t="inlineStr">
        <is>
          <t>P1</t>
        </is>
      </c>
      <c r="H74" t="n">
        <v>1</v>
      </c>
      <c r="I74" t="n">
        <v>9</v>
      </c>
      <c r="J74" t="inlineStr">
        <is>
          <t>TAP-064; TAP-065; TAP-066</t>
        </is>
      </c>
      <c r="K74" t="inlineStr">
        <is>
          <t>Ninguna descarga apagada; OPTIMIZE solo la recarga 1000/500/500; 0 DISABLE_CANDIDATE</t>
        </is>
      </c>
      <c r="L74" t="inlineStr">
        <is>
          <t>c6bb431 / RUN_REPORT.md + FINAL_REPORT.md</t>
        </is>
      </c>
      <c r="M74" t="inlineStr">
        <is>
          <t>https://github.com/Extr3sao/bot_crypto/issues/16</t>
        </is>
      </c>
      <c r="N74" t="inlineStr">
        <is>
          <t>Codex</t>
        </is>
      </c>
      <c r="Q74" t="inlineStr">
        <is>
          <t>2026-10-18</t>
        </is>
      </c>
      <c r="T74" t="inlineStr">
        <is>
          <t>REPO_REPORT</t>
        </is>
      </c>
      <c r="U74" t="inlineStr">
        <is>
          <t>No se detuvo ni editó ninguna tarea del host.</t>
        </is>
      </c>
    </row>
    <row r="75">
      <c r="A75" t="inlineStr">
        <is>
          <t>TAP-070</t>
        </is>
      </c>
      <c r="B75" t="inlineStr">
        <is>
          <t>Datos de mercado</t>
        </is>
      </c>
      <c r="C75" t="inlineStr">
        <is>
          <t>12 Observabilidad</t>
        </is>
      </c>
      <c r="D75" t="inlineStr">
        <is>
          <t>RFC-TAP-MARKET-005 / 005G</t>
        </is>
      </c>
      <c r="E75" t="inlineStr">
        <is>
          <t>Verificar de modo independiente ingestión PIT, continuidad y triggers de IA</t>
        </is>
      </c>
      <c r="F75" t="inlineStr">
        <is>
          <t>VERIFICADO_FOCAL</t>
        </is>
      </c>
      <c r="G75" t="inlineStr">
        <is>
          <t>P0</t>
        </is>
      </c>
      <c r="H75" t="n">
        <v>1</v>
      </c>
      <c r="I75" t="n">
        <v>10</v>
      </c>
      <c r="J75" t="inlineStr">
        <is>
          <t>TAP-066; TAP-067; TAP-068</t>
        </is>
      </c>
      <c r="K75" t="inlineStr">
        <is>
          <t>8 PASS / 0 FAIL; 5/5 mutaciones detectadas; no importa trading_bot</t>
        </is>
      </c>
      <c r="L75" t="inlineStr">
        <is>
          <t>c6bb431 / INDEPENDENT_VERIFICATION.json</t>
        </is>
      </c>
      <c r="M75" t="inlineStr">
        <is>
          <t>https://github.com/Extr3sao/bot_crypto/issues/16</t>
        </is>
      </c>
      <c r="N75" t="inlineStr">
        <is>
          <t>Codex</t>
        </is>
      </c>
      <c r="Q75" t="inlineStr">
        <is>
          <t>2026-10-18</t>
        </is>
      </c>
      <c r="S75" t="inlineStr">
        <is>
          <t>Suite completa NOT_RUN</t>
        </is>
      </c>
      <c r="T75" t="inlineStr">
        <is>
          <t>REPO_REPORT</t>
        </is>
      </c>
      <c r="U75" t="inlineStr">
        <is>
          <t>Builder != verifier a nivel de artefactos; mismo agente en la sesión.</t>
        </is>
      </c>
    </row>
    <row r="76">
      <c r="A76" t="inlineStr">
        <is>
          <t>TAP-071</t>
        </is>
      </c>
      <c r="B76" t="inlineStr">
        <is>
          <t>Operaciones Windows</t>
        </is>
      </c>
      <c r="C76" t="inlineStr">
        <is>
          <t>14 Paper</t>
        </is>
      </c>
      <c r="D76" t="inlineStr">
        <is>
          <t>RFC-TAP-MARKET-005 / 005H</t>
        </is>
      </c>
      <c r="E76" t="inlineStr">
        <is>
          <t>Activación opcional de adquisición incremental supervisada en PAPER sin Freebuff</t>
        </is>
      </c>
      <c r="F76" t="inlineStr">
        <is>
          <t>BLOQUEADO</t>
        </is>
      </c>
      <c r="G76" t="inlineStr">
        <is>
          <t>P1</t>
        </is>
      </c>
      <c r="H76" t="n">
        <v>0</v>
      </c>
      <c r="I76" t="n">
        <v>11</v>
      </c>
      <c r="J76" t="inlineStr">
        <is>
          <t>TAP-070; TAP-062; TAP-063</t>
        </is>
      </c>
      <c r="K76" t="inlineStr">
        <is>
          <t>Plan, comandos idempotentes y rollback documentados; nada ejecutado</t>
        </is>
      </c>
      <c r="L76" t="inlineStr">
        <is>
          <t>c6bb431 / RUN_REPORT.md §6</t>
        </is>
      </c>
      <c r="M76" t="inlineStr">
        <is>
          <t>https://github.com/Extr3sao/bot_crypto/issues/16</t>
        </is>
      </c>
      <c r="N76" t="inlineStr">
        <is>
          <t>Usuario + Codex</t>
        </is>
      </c>
      <c r="Q76" t="inlineStr">
        <is>
          <t>2026-10-18</t>
        </is>
      </c>
      <c r="R76" t="inlineStr">
        <is>
          <t>Autorización de host + diseño de lease</t>
        </is>
      </c>
      <c r="S76" t="inlineStr">
        <is>
          <t>USER_APPROVAL_REQUIRED</t>
        </is>
      </c>
      <c r="T76" t="inlineStr">
        <is>
          <t>PLAN_ONLY</t>
        </is>
      </c>
      <c r="U76" t="inlineStr">
        <is>
          <t>No se creó, detuvo, editó ni ejecutó ninguna tarea.</t>
        </is>
      </c>
    </row>
    <row r="77">
      <c r="A77" t="inlineStr">
        <is>
          <t>TAP-072</t>
        </is>
      </c>
      <c r="B77" t="inlineStr">
        <is>
          <t>Auditoría &amp; gobernanza</t>
        </is>
      </c>
      <c r="C77" t="inlineStr">
        <is>
          <t>00 Auditoría</t>
        </is>
      </c>
      <c r="D77" t="inlineStr">
        <is>
          <t>SYNC-GITHUB-001</t>
        </is>
      </c>
      <c r="E77" t="inlineStr">
        <is>
          <t>Auditoría LOCAL -&gt; GITHUB: publicar todo el trabajo local sin pérdida</t>
        </is>
      </c>
      <c r="F77" t="inlineStr">
        <is>
          <t>VERIFICADO_FOCAL</t>
        </is>
      </c>
      <c r="G77" t="inlineStr">
        <is>
          <t>P0</t>
        </is>
      </c>
      <c r="H77" t="n">
        <v>1</v>
      </c>
      <c r="I77" t="n">
        <v>71</v>
      </c>
      <c r="J77" t="inlineStr">
        <is>
          <t>TAP-001</t>
        </is>
      </c>
      <c r="K77" t="inlineStr">
        <is>
          <t>0 commits locales sin publicar; 18 ramas con SHA local == SHA remoto; respaldo SHA-256 previo a tocar Git</t>
        </is>
      </c>
      <c r="L77" t="inlineStr">
        <is>
          <t>5b63f265 / LOCAL_GITHUB_SYNC_AUDIT.md + FINAL_GITHUB_SYNC_REPORT.md</t>
        </is>
      </c>
      <c r="M77" t="inlineStr">
        <is>
          <t>https://github.com/Extr3sao/bot_crypto</t>
        </is>
      </c>
      <c r="N77" t="inlineStr">
        <is>
          <t>Codebuff</t>
        </is>
      </c>
      <c r="Q77" t="inlineStr">
        <is>
          <t>2026-10-25</t>
        </is>
      </c>
      <c r="R77" t="inlineStr">
        <is>
          <t>Revisar y cerrar los PR draft #19-#35</t>
        </is>
      </c>
      <c r="T77" t="inlineStr">
        <is>
          <t>REPO_REPORT</t>
        </is>
      </c>
      <c r="U77" t="inlineStr">
        <is>
          <t>SYNC_COMPLETE != MAIN_INTEGRATED != RUNTIME_CERTIFIED != PROFITABLE. Sin reset --hard, clean -fd, push --force ni rebase; ningún worktree, rama, stash o evidencia borrado.</t>
        </is>
      </c>
    </row>
    <row r="78">
      <c r="A78" t="inlineStr">
        <is>
          <t>TAP-073</t>
        </is>
      </c>
      <c r="B78" t="inlineStr">
        <is>
          <t>Infra &amp; CI</t>
        </is>
      </c>
      <c r="C78" t="inlineStr">
        <is>
          <t>00 Auditoría</t>
        </is>
      </c>
      <c r="D78" t="inlineStr">
        <is>
          <t>SYNC-GITHUB-002</t>
        </is>
      </c>
      <c r="E78" t="inlineStr">
        <is>
          <t>Gates de calidad (ruff/mypy/pytest) sobre el linaje local de main</t>
        </is>
      </c>
      <c r="F78" t="inlineStr">
        <is>
          <t>BLOQUEADO</t>
        </is>
      </c>
      <c r="G78" t="inlineStr">
        <is>
          <t>P0</t>
        </is>
      </c>
      <c r="H78" t="n">
        <v>0</v>
      </c>
      <c r="I78" t="n">
        <v>72</v>
      </c>
      <c r="J78" t="inlineStr">
        <is>
          <t>TAP-072</t>
        </is>
      </c>
      <c r="K78" t="inlineStr">
        <is>
          <t>ruff check 130 errores y ruff format 444 ficheros en e67194e7; mypy 297 errores; pytest 90 failed / 3263 passed / 14 errors</t>
        </is>
      </c>
      <c r="L78" t="inlineStr">
        <is>
          <t>checkout limpio de e67194e7 (ff-wt-main001), uv sync --frozen, 2026-10-25</t>
        </is>
      </c>
      <c r="M78" t="inlineStr">
        <is>
          <t>https://github.com/Extr3sao/bot_crypto/actions</t>
        </is>
      </c>
      <c r="N78" t="inlineStr">
        <is>
          <t>Codebuff</t>
        </is>
      </c>
      <c r="Q78" t="inlineStr">
        <is>
          <t>2026-10-25</t>
        </is>
      </c>
      <c r="R78" t="inlineStr">
        <is>
          <t>Llevar el tronco a los gates (candidato PR #25 trunk-format-001) y volver a medir</t>
        </is>
      </c>
      <c r="S78" t="inlineStr">
        <is>
          <t>SUITE_GLOBAL_FAIL</t>
        </is>
      </c>
      <c r="T78" t="inlineStr">
        <is>
          <t>REPO_REPORT</t>
        </is>
      </c>
      <c r="U78" t="inlineStr">
        <is>
          <t>Falla preexistente: NO la introduce la sincronización. origin/main 5e6f9632 sí está en verde (ruff/mypy/format y 582 tests PASS), pero está 263 commits por detrás del linaje local.</t>
        </is>
      </c>
    </row>
    <row r="79">
      <c r="A79" t="inlineStr">
        <is>
          <t>TAP-074</t>
        </is>
      </c>
      <c r="B79" t="inlineStr">
        <is>
          <t>Roadmap vivo</t>
        </is>
      </c>
      <c r="C79" t="inlineStr">
        <is>
          <t>00 Auditoría</t>
        </is>
      </c>
      <c r="D79" t="inlineStr">
        <is>
          <t>SYNC-GITHUB-003</t>
        </is>
      </c>
      <c r="E79" t="inlineStr">
        <is>
          <t>Integración controlada del linaje local en origin/main</t>
        </is>
      </c>
      <c r="F79" t="inlineStr">
        <is>
          <t>PENDIENTE</t>
        </is>
      </c>
      <c r="G79" t="inlineStr">
        <is>
          <t>P0</t>
        </is>
      </c>
      <c r="H79" t="n">
        <v>0</v>
      </c>
      <c r="I79" t="n">
        <v>73</v>
      </c>
      <c r="J79" t="inlineStr">
        <is>
          <t>TAP-072; TAP-073</t>
        </is>
      </c>
      <c r="K79" t="inlineStr">
        <is>
          <t>origin/main 5e6f9632 -&gt; e67194e7 es fast-forward de 263 commits; no se hizo push a main</t>
        </is>
      </c>
      <c r="L79" t="inlineStr">
        <is>
          <t>PR #18 admission/integration-002 -&gt; main (ya contiene e67194e7)</t>
        </is>
      </c>
      <c r="M79" t="inlineStr">
        <is>
          <t>https://github.com/Extr3sao/bot_crypto/pull/18</t>
        </is>
      </c>
      <c r="N79" t="inlineStr">
        <is>
          <t>Codebuff</t>
        </is>
      </c>
      <c r="Q79" t="inlineStr">
        <is>
          <t>2026-10-25</t>
        </is>
      </c>
      <c r="R79" t="inlineStr">
        <is>
          <t>Revisar y fusionar PR #18; después reabrir el resto con base actualizada</t>
        </is>
      </c>
      <c r="S79" t="inlineStr">
        <is>
          <t>MERGE_PENDING_Y_GATES_EN_ROJO</t>
        </is>
      </c>
      <c r="T79" t="inlineStr">
        <is>
          <t>PROJECT_MANAGEMENT</t>
        </is>
      </c>
      <c r="U79" t="inlineStr">
        <is>
          <t>El trabajo se publica antes de integrarse: ninguna rama se forzó sobre su remota.</t>
        </is>
      </c>
    </row>
    <row r="80">
      <c r="A80" t="inlineStr">
        <is>
          <t>TAP-075</t>
        </is>
      </c>
      <c r="B80" t="inlineStr">
        <is>
          <t>Roadmap vivo</t>
        </is>
      </c>
      <c r="C80" t="inlineStr">
        <is>
          <t>00 Auditoría</t>
        </is>
      </c>
      <c r="D80" t="inlineStr">
        <is>
          <t>SYNC-GITHUB-004</t>
        </is>
      </c>
      <c r="E80" t="inlineStr">
        <is>
          <t>PR de trazabilidad para cada rama local publicada sin PR</t>
        </is>
      </c>
      <c r="F80" t="inlineStr">
        <is>
          <t>PENDIENTE</t>
        </is>
      </c>
      <c r="G80" t="inlineStr">
        <is>
          <t>P1</t>
        </is>
      </c>
      <c r="H80" t="n">
        <v>1</v>
      </c>
      <c r="I80" t="n">
        <v>74</v>
      </c>
      <c r="J80" t="inlineStr">
        <is>
          <t>TAP-072</t>
        </is>
      </c>
      <c r="K80" t="inlineStr">
        <is>
          <t>17 PR draft abiertos (#19-#35); cabeceras == SHA de rama local</t>
        </is>
      </c>
      <c r="L80" t="inlineStr">
        <is>
          <t>refs/pull/19..35/head verificados con git ls-remote</t>
        </is>
      </c>
      <c r="M80" t="inlineStr">
        <is>
          <t>https://github.com/Extr3sao/bot_crypto/pulls?q=is%3Aopen+is%3Adraft</t>
        </is>
      </c>
      <c r="N80" t="inlineStr">
        <is>
          <t>Codebuff</t>
        </is>
      </c>
      <c r="Q80" t="inlineStr">
        <is>
          <t>2026-10-25</t>
        </is>
      </c>
      <c r="R80" t="inlineStr">
        <is>
          <t>Convertir en PR revisables cuando sus gates pasen</t>
        </is>
      </c>
      <c r="S80" t="inlineStr">
        <is>
          <t>DRAFT_HASTA_VERIFICACION</t>
        </is>
      </c>
      <c r="T80" t="inlineStr">
        <is>
          <t>PROJECT_MANAGEMENT</t>
        </is>
      </c>
      <c r="U80" t="inlineStr">
        <is>
          <t>Todos en draft: gates NO ejecutados en esas ramas -&gt; NOT_VERIFIED. audit/economic-blocker-001 no recibe PR porque es idéntica a main.</t>
        </is>
      </c>
    </row>
    <row r="81">
      <c r="A81" t="inlineStr">
        <is>
          <t>TAP-076</t>
        </is>
      </c>
      <c r="B81" t="inlineStr">
        <is>
          <t>Auditoría &amp; gobernanza</t>
        </is>
      </c>
      <c r="C81" t="inlineStr">
        <is>
          <t>00 Auditoría</t>
        </is>
      </c>
      <c r="D81" t="inlineStr">
        <is>
          <t>SYNC-GITHUB-005</t>
        </is>
      </c>
      <c r="E81" t="inlineStr">
        <is>
          <t>Preservar los 153 ficheros sin commit del checkout principal</t>
        </is>
      </c>
      <c r="F81" t="inlineStr">
        <is>
          <t>BLOQUEADO</t>
        </is>
      </c>
      <c r="G81" t="inlineStr">
        <is>
          <t>P0</t>
        </is>
      </c>
      <c r="H81" t="n">
        <v>1</v>
      </c>
      <c r="I81" t="n">
        <v>75</v>
      </c>
      <c r="J81" t="inlineStr">
        <is>
          <t>TAP-072</t>
        </is>
      </c>
      <c r="K81" t="inlineStr">
        <is>
          <t>8 commits en rama sync/uncommitted-main-20261025; árbol limpio; PR #19 draft</t>
        </is>
      </c>
      <c r="L81" t="inlineStr">
        <is>
          <t>5b63f265; PR #19; respaldo sync-backup-20261025 con SHA256SUMS.txt</t>
        </is>
      </c>
      <c r="M81" t="inlineStr">
        <is>
          <t>https://github.com/Extr3sao/bot_crypto/pull/19</t>
        </is>
      </c>
      <c r="N81" t="inlineStr">
        <is>
          <t>Codebuff</t>
        </is>
      </c>
      <c r="Q81" t="inlineStr">
        <is>
          <t>2026-10-25</t>
        </is>
      </c>
      <c r="R81" t="inlineStr">
        <is>
          <t>Restaurar la implementación real de config/settings.py o completar el shim antes de cualquier merge</t>
        </is>
      </c>
      <c r="S81" t="inlineStr">
        <is>
          <t>PYTEST_COLLECTION_ERROR</t>
        </is>
      </c>
      <c r="T81" t="inlineStr">
        <is>
          <t>PARTIAL_SOURCE</t>
        </is>
      </c>
      <c r="U81" t="inlineStr">
        <is>
          <t>El shim de settings.py (346 -&gt; 27 lineas) rompe la recolección: tests/unit/config/test_failfast.py no puede importar YamlDirectorySource. Publicado, NO integrado.</t>
        </is>
      </c>
    </row>
  </sheetData>
  <mergeCells count="2">
    <mergeCell ref="A1:U2"/>
    <mergeCell ref="A3:U3"/>
  </mergeCells>
  <conditionalFormatting sqref="F6:F165">
    <cfRule type="expression" priority="1" dxfId="0">
      <formula>F6="VERIFICADO_FOCAL"</formula>
    </cfRule>
    <cfRule type="expression" priority="2" dxfId="1">
      <formula>F6="IMPLEMENTADO"</formula>
    </cfRule>
    <cfRule type="expression" priority="3" dxfId="2">
      <formula>F6="EN_CURSO"</formula>
    </cfRule>
    <cfRule type="expression" priority="4" dxfId="3">
      <formula>F6="PENDIENTE"</formula>
    </cfRule>
    <cfRule type="expression" priority="5" dxfId="4">
      <formula>F6="PLANIFICADO"</formula>
    </cfRule>
    <cfRule type="expression" priority="6" dxfId="5">
      <formula>F6="PROPUESTO"</formula>
    </cfRule>
    <cfRule type="expression" priority="7" dxfId="6">
      <formula>F6="BLOQUEADO"</formula>
    </cfRule>
    <cfRule type="expression" priority="8" dxfId="7">
      <formula>F6="RECHAZADO"</formula>
    </cfRule>
    <cfRule type="expression" priority="9" dxfId="8">
      <formula>F6="NO_APLICA"</formula>
    </cfRule>
  </conditionalFormatting>
  <conditionalFormatting sqref="H6:H65">
    <cfRule type="dataBar" priority="10">
      <dataBar>
        <cfvo type="min"/>
        <cfvo type="max"/>
        <color rgb="FF007E87"/>
      </dataBar>
    </cfRule>
  </conditionalFormatting>
  <dataValidations count="2">
    <dataValidation sqref="G6:G65" showDropDown="0" showInputMessage="0" showErrorMessage="0" allowBlank="0" type="list">
      <formula1>"P0,P1,P2,P3"</formula1>
    </dataValidation>
    <dataValidation sqref="F6:F165" showDropDown="0" showInputMessage="0" showErrorMessage="0" allowBlank="0" type="list">
      <formula1>"VERIFICADO_FOCAL,IMPLEMENTADO,EN_CURSO,PENDIENTE,PLANIFICADO,PROPUESTO,BLOQUEADO,RECHAZADO,NO_APLICA"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style="82" min="1" max="1"/>
    <col width="23" customWidth="1" style="82" min="2" max="2"/>
    <col width="75" customWidth="1" style="82" min="3" max="3"/>
    <col width="21" customWidth="1" style="82" min="4" max="4"/>
    <col width="30" customWidth="1" style="82" min="5" max="5"/>
    <col width="19" customWidth="1" style="82" min="6" max="6"/>
  </cols>
  <sheetData>
    <row r="1" ht="26" customHeight="1" s="82">
      <c r="A1" s="7" t="inlineStr">
        <is>
          <t>FASES 0–15 | estado de arquitectura</t>
        </is>
      </c>
      <c r="B1" s="1" t="n"/>
      <c r="C1" s="1" t="n"/>
      <c r="D1" s="1" t="n"/>
      <c r="E1" s="1" t="n"/>
      <c r="F1" s="1" t="n"/>
    </row>
    <row r="2" ht="26" customHeight="1" s="82">
      <c r="A2" s="1" t="n"/>
      <c r="B2" s="1" t="n"/>
      <c r="C2" s="1" t="n"/>
      <c r="D2" s="1" t="n"/>
      <c r="E2" s="1" t="n"/>
      <c r="F2" s="1" t="n"/>
    </row>
    <row r="3" ht="24" customHeight="1" s="82">
      <c r="A3" s="13" t="inlineStr">
        <is>
          <t>Estado de cada área: autoridad real del runtime por delante de RFCs y diseños.</t>
        </is>
      </c>
      <c r="B3" s="1" t="n"/>
      <c r="C3" s="1" t="n"/>
      <c r="D3" s="1" t="n"/>
      <c r="E3" s="1" t="n"/>
      <c r="F3" s="1" t="n"/>
    </row>
    <row r="4" ht="9" customHeight="1" s="82"/>
    <row r="5" ht="34" customHeight="1" s="82">
      <c r="A5" s="16" t="inlineStr">
        <is>
          <t>Fase</t>
        </is>
      </c>
      <c r="B5" s="16" t="inlineStr">
        <is>
          <t>Estado</t>
        </is>
      </c>
      <c r="C5" s="16" t="inlineStr">
        <is>
          <t>Resultado / límite</t>
        </is>
      </c>
      <c r="D5" s="16" t="inlineStr">
        <is>
          <t>Fuente</t>
        </is>
      </c>
      <c r="E5" s="16" t="inlineStr">
        <is>
          <t>Gate</t>
        </is>
      </c>
      <c r="F5" s="16" t="inlineStr">
        <is>
          <t>Actualización</t>
        </is>
      </c>
    </row>
    <row r="6" ht="31" customHeight="1" s="82">
      <c r="A6" s="22" t="inlineStr">
        <is>
          <t>00 Auditoría</t>
        </is>
      </c>
      <c r="B6" s="22" t="inlineStr">
        <is>
          <t>PARCIAL</t>
        </is>
      </c>
      <c r="C6" s="22" t="inlineStr">
        <is>
          <t>Runtime económico auditado por rama; main no integrado, suite global 14 FAIL.</t>
        </is>
      </c>
      <c r="D6" s="22" t="inlineStr">
        <is>
          <t>VNext</t>
        </is>
      </c>
      <c r="E6" s="22" t="inlineStr">
        <is>
          <t>RUNTIME_AUTHORITY_GAP</t>
        </is>
      </c>
      <c r="F6" s="22" t="inlineStr">
        <is>
          <t>2026-10-18</t>
        </is>
      </c>
    </row>
    <row r="7" ht="31" customHeight="1" s="82">
      <c r="A7" s="22" t="inlineStr">
        <is>
          <t>01 Research</t>
        </is>
      </c>
      <c r="B7" s="22" t="inlineStr">
        <is>
          <t>VERIFICADO_FOCAL</t>
        </is>
      </c>
      <c r="C7" s="22" t="inlineStr">
        <is>
          <t>REA estructuras JS; Python Fenix instrumentado; patrones sin certificación funcional.</t>
        </is>
      </c>
      <c r="D7" s="22" t="inlineStr">
        <is>
          <t>VNext</t>
        </is>
      </c>
      <c r="E7" s="22" t="inlineStr">
        <is>
          <t>RUNTIME_AUTHORITY_GAP</t>
        </is>
      </c>
      <c r="F7" s="22" t="inlineStr">
        <is>
          <t>2026-10-18</t>
        </is>
      </c>
    </row>
    <row r="8" ht="31" customHeight="1" s="82">
      <c r="A8" s="22" t="inlineStr">
        <is>
          <t>02 Arquitectura</t>
        </is>
      </c>
      <c r="B8" s="22" t="inlineStr">
        <is>
          <t>DISEÑADO</t>
        </is>
      </c>
      <c r="C8" s="22" t="inlineStr">
        <is>
          <t>VNext y RFCs; la arquitectura propuesta no equivale a runtime.</t>
        </is>
      </c>
      <c r="D8" s="22" t="inlineStr">
        <is>
          <t>VNext</t>
        </is>
      </c>
      <c r="E8" s="22" t="inlineStr">
        <is>
          <t>RUNTIME_AUTHORITY_GAP</t>
        </is>
      </c>
      <c r="F8" s="22" t="inlineStr">
        <is>
          <t>2026-10-18</t>
        </is>
      </c>
    </row>
    <row r="9" ht="31" customHeight="1" s="82">
      <c r="A9" s="22" t="inlineStr">
        <is>
          <t>03 Runtime Authority</t>
        </is>
      </c>
      <c r="B9" s="22" t="inlineStr">
        <is>
          <t>PARCIAL</t>
        </is>
      </c>
      <c r="C9" s="22" t="inlineStr">
        <is>
          <t>Paper y Risk canónicos, permisos; falta integrar ramas, CI y runtime map completo. Ventanas Bash Windows reportadas: raíz por verificar.</t>
        </is>
      </c>
      <c r="D9" s="22" t="inlineStr">
        <is>
          <t>VNext</t>
        </is>
      </c>
      <c r="E9" s="22" t="inlineStr">
        <is>
          <t>RUNTIME_AUTHORITY_GAP</t>
        </is>
      </c>
      <c r="F9" s="22" t="inlineStr">
        <is>
          <t>2026-10-18</t>
        </is>
      </c>
    </row>
    <row r="10" ht="31" customHeight="1" s="82">
      <c r="A10" s="22" t="inlineStr">
        <is>
          <t>04 Foundation</t>
        </is>
      </c>
      <c r="B10" s="22" t="inlineStr">
        <is>
          <t>VERIFICADO_FOCAL</t>
        </is>
      </c>
      <c r="C10" s="22" t="inlineStr">
        <is>
          <t>BOT-VIS-01, BOT-CTX-01 y capability registry en ramas AI.</t>
        </is>
      </c>
      <c r="D10" s="22" t="inlineStr">
        <is>
          <t>VNext</t>
        </is>
      </c>
      <c r="E10" s="22" t="inlineStr">
        <is>
          <t>RUNTIME_AUTHORITY_GAP</t>
        </is>
      </c>
      <c r="F10" s="22" t="inlineStr">
        <is>
          <t>2026-10-18</t>
        </is>
      </c>
    </row>
    <row r="11" ht="31" customHeight="1" s="82">
      <c r="A11" s="22" t="inlineStr">
        <is>
          <t>05 Communication</t>
        </is>
      </c>
      <c r="B11" s="22" t="inlineStr">
        <is>
          <t>PLANIFICADO</t>
        </is>
      </c>
      <c r="C11" s="22" t="inlineStr">
        <is>
          <t>Contratos estructura critic/AgentMessage aún incompletos.</t>
        </is>
      </c>
      <c r="D11" s="22" t="inlineStr">
        <is>
          <t>VNext</t>
        </is>
      </c>
      <c r="E11" s="22" t="inlineStr">
        <is>
          <t>RUNTIME_AUTHORITY_GAP</t>
        </is>
      </c>
      <c r="F11" s="22" t="inlineStr">
        <is>
          <t>2026-10-18</t>
        </is>
      </c>
    </row>
    <row r="12" ht="31" customHeight="1" s="82">
      <c r="A12" s="22" t="inlineStr">
        <is>
          <t>06 Market Intelligence</t>
        </is>
      </c>
      <c r="B12" s="22" t="inlineStr">
        <is>
          <t>PLANIFICADO</t>
        </is>
      </c>
      <c r="C12" s="22" t="inlineStr">
        <is>
          <t>MarketContext y régimen aún no certificados en runtime principal.</t>
        </is>
      </c>
      <c r="D12" s="22" t="inlineStr">
        <is>
          <t>VNext</t>
        </is>
      </c>
      <c r="E12" s="22" t="inlineStr">
        <is>
          <t>RUNTIME_AUTHORITY_GAP</t>
        </is>
      </c>
      <c r="F12" s="22" t="inlineStr">
        <is>
          <t>2026-10-18</t>
        </is>
      </c>
    </row>
    <row r="13" ht="31" customHeight="1" s="82">
      <c r="A13" s="22" t="inlineStr">
        <is>
          <t>07 Asset Intelligence</t>
        </is>
      </c>
      <c r="B13" s="22" t="inlineStr">
        <is>
          <t>PARCIAL</t>
        </is>
      </c>
      <c r="C13" s="22" t="inlineStr">
        <is>
          <t>PIT/data coverage probados en bloque C; AssetMemory propuesta.</t>
        </is>
      </c>
      <c r="D13" s="22" t="inlineStr">
        <is>
          <t>VNext</t>
        </is>
      </c>
      <c r="E13" s="22" t="inlineStr">
        <is>
          <t>RUNTIME_AUTHORITY_GAP</t>
        </is>
      </c>
      <c r="F13" s="22" t="inlineStr">
        <is>
          <t>2026-10-18</t>
        </is>
      </c>
    </row>
    <row r="14" ht="31" customHeight="1" s="82">
      <c r="A14" s="22" t="inlineStr">
        <is>
          <t>08 Strategy Intelligence</t>
        </is>
      </c>
      <c r="B14" s="22" t="inlineStr">
        <is>
          <t>PARCIAL</t>
        </is>
      </c>
      <c r="C14" s="22" t="inlineStr">
        <is>
          <t>Experimentos y router research, sin estrategia admitida.</t>
        </is>
      </c>
      <c r="D14" s="22" t="inlineStr">
        <is>
          <t>VNext</t>
        </is>
      </c>
      <c r="E14" s="22" t="inlineStr">
        <is>
          <t>RUNTIME_AUTHORITY_GAP</t>
        </is>
      </c>
      <c r="F14" s="22" t="inlineStr">
        <is>
          <t>2026-10-18</t>
        </is>
      </c>
    </row>
    <row r="15" ht="31" customHeight="1" s="82">
      <c r="A15" s="22" t="inlineStr">
        <is>
          <t>09 Decision / critic</t>
        </is>
      </c>
      <c r="B15" s="22" t="inlineStr">
        <is>
          <t>EN_CURSO</t>
        </is>
      </c>
      <c r="C15" s="22" t="inlineStr">
        <is>
          <t>AI decisor mock; BOT-CRI-01 RFC-004 propuesto.</t>
        </is>
      </c>
      <c r="D15" s="22" t="inlineStr">
        <is>
          <t>VNext</t>
        </is>
      </c>
      <c r="E15" s="22" t="inlineStr">
        <is>
          <t>RUNTIME_AUTHORITY_GAP</t>
        </is>
      </c>
      <c r="F15" s="22" t="inlineStr">
        <is>
          <t>2026-10-18</t>
        </is>
      </c>
    </row>
    <row r="16" ht="31" customHeight="1" s="82">
      <c r="A16" s="22" t="inlineStr">
        <is>
          <t>10 Risk / Portfolio</t>
        </is>
      </c>
      <c r="B16" s="22" t="inlineStr">
        <is>
          <t>VERIFICADO_FOCAL</t>
        </is>
      </c>
      <c r="C16" s="22" t="inlineStr">
        <is>
          <t>Riesgo semanal, MTM, gaps; suites focales, no full global.</t>
        </is>
      </c>
      <c r="D16" s="22" t="inlineStr">
        <is>
          <t>VNext</t>
        </is>
      </c>
      <c r="E16" s="22" t="inlineStr">
        <is>
          <t>RUNTIME_AUTHORITY_GAP</t>
        </is>
      </c>
      <c r="F16" s="22" t="inlineStr">
        <is>
          <t>2026-10-18</t>
        </is>
      </c>
    </row>
    <row r="17" ht="31" customHeight="1" s="82">
      <c r="A17" s="22" t="inlineStr">
        <is>
          <t>11 Memory</t>
        </is>
      </c>
      <c r="B17" s="22" t="inlineStr">
        <is>
          <t>PLANIFICADO</t>
        </is>
      </c>
      <c r="C17" s="22" t="inlineStr">
        <is>
          <t>Separación de memorias y aprendizaje offline sin auto producción.</t>
        </is>
      </c>
      <c r="D17" s="22" t="inlineStr">
        <is>
          <t>VNext</t>
        </is>
      </c>
      <c r="E17" s="22" t="inlineStr">
        <is>
          <t>RUNTIME_AUTHORITY_GAP</t>
        </is>
      </c>
      <c r="F17" s="22" t="inlineStr">
        <is>
          <t>2026-10-18</t>
        </is>
      </c>
    </row>
    <row r="18" ht="31" customHeight="1" s="82">
      <c r="A18" s="22" t="inlineStr">
        <is>
          <t>12 Observabilidad</t>
        </is>
      </c>
      <c r="B18" s="22" t="inlineStr">
        <is>
          <t>VERIFICADO_FOCAL</t>
        </is>
      </c>
      <c r="C18" s="22" t="inlineStr">
        <is>
          <t>EVIDENCE-004F y ledgers; CI global pendiente.</t>
        </is>
      </c>
      <c r="D18" s="22" t="inlineStr">
        <is>
          <t>VNext</t>
        </is>
      </c>
      <c r="E18" s="22" t="inlineStr">
        <is>
          <t>RUNTIME_AUTHORITY_GAP</t>
        </is>
      </c>
      <c r="F18" s="22" t="inlineStr">
        <is>
          <t>2026-10-18</t>
        </is>
      </c>
    </row>
    <row r="19" ht="31" customHeight="1" s="82">
      <c r="A19" s="22" t="inlineStr">
        <is>
          <t>13 Agent Utility</t>
        </is>
      </c>
      <c r="B19" s="22" t="inlineStr">
        <is>
          <t>BLOQUEADO</t>
        </is>
      </c>
      <c r="C19" s="22" t="inlineStr">
        <is>
          <t>Sin IA real, ablation/edge real pendientes; baseline neto negativo.</t>
        </is>
      </c>
      <c r="D19" s="22" t="inlineStr">
        <is>
          <t>VNext</t>
        </is>
      </c>
      <c r="E19" s="22" t="inlineStr">
        <is>
          <t>RUNTIME_AUTHORITY_GAP</t>
        </is>
      </c>
      <c r="F19" s="22" t="inlineStr">
        <is>
          <t>2026-10-18</t>
        </is>
      </c>
    </row>
    <row r="20" ht="31" customHeight="1" s="82">
      <c r="A20" s="22" t="inlineStr">
        <is>
          <t>14 Paper</t>
        </is>
      </c>
      <c r="B20" s="22" t="inlineStr">
        <is>
          <t>PARCIAL</t>
        </is>
      </c>
      <c r="C20" s="22" t="inlineStr">
        <is>
          <t>Replays paper 1h mock ejecutados; paper prospectivo contínuo pendiente.</t>
        </is>
      </c>
      <c r="D20" s="22" t="inlineStr">
        <is>
          <t>VNext</t>
        </is>
      </c>
      <c r="E20" s="22" t="inlineStr">
        <is>
          <t>RUNTIME_AUTHORITY_GAP</t>
        </is>
      </c>
      <c r="F20" s="22" t="inlineStr">
        <is>
          <t>2026-10-18</t>
        </is>
      </c>
    </row>
    <row r="21" ht="31" customHeight="1" s="82">
      <c r="A21" s="22" t="inlineStr">
        <is>
          <t>15 Shadow / Canary</t>
        </is>
      </c>
      <c r="B21" s="22" t="inlineStr">
        <is>
          <t>PLANIFICADO</t>
        </is>
      </c>
      <c r="C21" s="22" t="inlineStr">
        <is>
          <t>Critic SHADOW preparado, no ejecutado; canary live prohibido.</t>
        </is>
      </c>
      <c r="D21" s="22" t="inlineStr">
        <is>
          <t>VNext</t>
        </is>
      </c>
      <c r="E21" s="22" t="inlineStr">
        <is>
          <t>RUNTIME_AUTHORITY_GAP</t>
        </is>
      </c>
      <c r="F21" s="22" t="inlineStr">
        <is>
          <t>2026-10-18</t>
        </is>
      </c>
    </row>
  </sheetData>
  <mergeCells count="2">
    <mergeCell ref="A3:F3"/>
    <mergeCell ref="A1:F2"/>
  </mergeCells>
  <conditionalFormatting sqref="B6:B21">
    <cfRule type="expression" priority="1" dxfId="0">
      <formula>B6="VERIFICADO_FOCAL"</formula>
    </cfRule>
    <cfRule type="expression" priority="2" dxfId="1">
      <formula>B6="IMPLEMENTADO"</formula>
    </cfRule>
    <cfRule type="expression" priority="3" dxfId="2">
      <formula>B6="EN_CURSO"</formula>
    </cfRule>
    <cfRule type="expression" priority="4" dxfId="3">
      <formula>B6="PENDIENTE"</formula>
    </cfRule>
    <cfRule type="expression" priority="5" dxfId="4">
      <formula>B6="PLANIFICADO"</formula>
    </cfRule>
    <cfRule type="expression" priority="6" dxfId="5">
      <formula>B6="PROPUESTO"</formula>
    </cfRule>
    <cfRule type="expression" priority="7" dxfId="6">
      <formula>B6="BLOQUEADO"</formula>
    </cfRule>
    <cfRule type="expression" priority="8" dxfId="7">
      <formula>B6="RECHAZADO"</formula>
    </cfRule>
    <cfRule type="expression" priority="9" dxfId="8">
      <formula>B6="NO_APLICA"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style="82" min="1" max="1"/>
    <col width="24" customWidth="1" style="82" min="2" max="2"/>
    <col width="21" customWidth="1" style="82" min="3" max="3"/>
    <col width="75" customWidth="1" style="82" min="4" max="4"/>
    <col width="32" customWidth="1" style="82" min="5" max="5"/>
    <col width="45" customWidth="1" style="82" min="6" max="6"/>
    <col width="65" customWidth="1" style="82" min="7" max="7"/>
    <col width="17" customWidth="1" style="82" min="8" max="8"/>
  </cols>
  <sheetData>
    <row r="1" ht="26" customHeight="1" s="82">
      <c r="A1" s="7" t="inlineStr">
        <is>
          <t>RFC Y WORK PACKAGES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</row>
    <row r="3" ht="24" customHeight="1" s="82">
      <c r="A3" s="13" t="inlineStr">
        <is>
          <t>Una implementación de RFC en una rama NO implica merge a main, CI global ni producción.</t>
        </is>
      </c>
      <c r="B3" s="1" t="n"/>
      <c r="C3" s="1" t="n"/>
      <c r="D3" s="1" t="n"/>
      <c r="E3" s="1" t="n"/>
      <c r="F3" s="1" t="n"/>
      <c r="G3" s="1" t="n"/>
      <c r="H3" s="1" t="n"/>
    </row>
    <row r="4" ht="9" customHeight="1" s="82"/>
    <row r="5" ht="34" customHeight="1" s="82">
      <c r="A5" s="16" t="inlineStr">
        <is>
          <t>RFC / WP</t>
        </is>
      </c>
      <c r="B5" s="16" t="inlineStr">
        <is>
          <t>Área</t>
        </is>
      </c>
      <c r="C5" s="16" t="inlineStr">
        <is>
          <t>Estado</t>
        </is>
      </c>
      <c r="D5" s="16" t="inlineStr">
        <is>
          <t>Resultado y limitación</t>
        </is>
      </c>
      <c r="E5" s="16" t="inlineStr">
        <is>
          <t>Commit / evidencia</t>
        </is>
      </c>
      <c r="F5" s="16" t="inlineStr">
        <is>
          <t>IDs del roadmap</t>
        </is>
      </c>
      <c r="G5" s="16" t="inlineStr">
        <is>
          <t>Enlace GitHub</t>
        </is>
      </c>
      <c r="H5" s="16" t="inlineStr">
        <is>
          <t>Actualización</t>
        </is>
      </c>
    </row>
    <row r="6" ht="31" customHeight="1" s="82">
      <c r="A6" s="22" t="inlineStr">
        <is>
          <t>RFC-AI-VISION-001</t>
        </is>
      </c>
      <c r="B6" s="22" t="inlineStr">
        <is>
          <t>IA visual</t>
        </is>
      </c>
      <c r="C6" s="22" t="inlineStr">
        <is>
          <t>VERIFICADO_FOCAL</t>
        </is>
      </c>
      <c r="D6" s="22" t="inlineStr">
        <is>
          <t>Visión PNG + contratos + provider + ledger, sin modelo real</t>
        </is>
      </c>
      <c r="E6" s="22" t="inlineStr">
        <is>
          <t>091d55d / e4db7da</t>
        </is>
      </c>
      <c r="F6" s="22" t="inlineStr">
        <is>
          <t>TAP-012;TAP-014</t>
        </is>
      </c>
      <c r="G6" s="22" t="inlineStr">
        <is>
          <t>https://github.com/Extr3sao/bot_crypto/tree/agent/ai-vision/RFC-AI-VISION-001/src/trading_bot/vision</t>
        </is>
      </c>
      <c r="H6" s="22" t="inlineStr">
        <is>
          <t>2026-10-18</t>
        </is>
      </c>
    </row>
    <row r="7" ht="31" customHeight="1" s="82">
      <c r="A7" s="22" t="inlineStr">
        <is>
          <t>RFC-TAP-AI-BOTS-002</t>
        </is>
      </c>
      <c r="B7" s="22" t="inlineStr">
        <is>
          <t>REA/Bots</t>
        </is>
      </c>
      <c r="C7" s="22" t="inlineStr">
        <is>
          <t>VERIFICADO_FOCAL</t>
        </is>
      </c>
      <c r="D7" s="22" t="inlineStr">
        <is>
          <t>REA real selectivo; 2/7 artefactos REA por hash; VIS y CTX ya existen</t>
        </is>
      </c>
      <c r="E7" s="22" t="inlineStr">
        <is>
          <t>4dba317 / c4e6e3b</t>
        </is>
      </c>
      <c r="F7" s="22" t="inlineStr">
        <is>
          <t>TAP-008;TAP-009;TAP-010;TAP-013</t>
        </is>
      </c>
      <c r="G7" s="22" t="inlineStr">
        <is>
          <t>https://github.com/Extr3sao/bot_crypto/issues/11</t>
        </is>
      </c>
      <c r="H7" s="22" t="inlineStr">
        <is>
          <t>2026-10-18</t>
        </is>
      </c>
    </row>
    <row r="8" ht="31" customHeight="1" s="82">
      <c r="A8" s="22" t="inlineStr">
        <is>
          <t>RFC-TAP-EVIDENCE-004</t>
        </is>
      </c>
      <c r="B8" s="22" t="inlineStr">
        <is>
          <t>Gobernanza</t>
        </is>
      </c>
      <c r="C8" s="22" t="inlineStr">
        <is>
          <t>VERIFICADO_FOCAL</t>
        </is>
      </c>
      <c r="D8" s="22" t="inlineStr">
        <is>
          <t>Ledger normalizado, verified receipts, supersession, cierre 004F</t>
        </is>
      </c>
      <c r="E8" s="22" t="inlineStr">
        <is>
          <t>b7e100a</t>
        </is>
      </c>
      <c r="F8" s="22" t="inlineStr">
        <is>
          <t>TAP-004;TAP-005;TAP-006</t>
        </is>
      </c>
      <c r="G8" s="22" t="inlineStr">
        <is>
          <t>https://github.com/Extr3sao/bot_crypto/issues/13</t>
        </is>
      </c>
      <c r="H8" s="22" t="inlineStr">
        <is>
          <t>2026-10-18</t>
        </is>
      </c>
    </row>
    <row r="9" ht="31" customHeight="1" s="82">
      <c r="A9" s="22" t="inlineStr">
        <is>
          <t>WP-EDGE-017F</t>
        </is>
      </c>
      <c r="B9" s="22" t="inlineStr">
        <is>
          <t>Económico</t>
        </is>
      </c>
      <c r="C9" s="22" t="inlineStr">
        <is>
          <t>VERIFICADO_FOCAL</t>
        </is>
      </c>
      <c r="D9" s="22" t="inlineStr">
        <is>
          <t>Risk weekly/drawdown corregidos y replay neto NEGATIVO</t>
        </is>
      </c>
      <c r="E9" s="22" t="inlineStr">
        <is>
          <t>b17644a</t>
        </is>
      </c>
      <c r="F9" s="22" t="inlineStr">
        <is>
          <t>TAP-002;TAP-003;TAP-036;TAP-037</t>
        </is>
      </c>
      <c r="G9" s="22" t="inlineStr">
        <is>
          <t>https://github.com/Extr3sao/bot_crypto/blob/agent/edge-recovery/WP-EDGE-00-baseline/reports/economic-recovery/RFC-EDGE-017/FINAL_REPORT.md</t>
        </is>
      </c>
      <c r="H9" s="22" t="inlineStr">
        <is>
          <t>2026-10-18</t>
        </is>
      </c>
    </row>
    <row r="10" ht="31" customHeight="1" s="82">
      <c r="A10" s="22" t="inlineStr">
        <is>
          <t>RFC-TAP-AI-BOTS-003 A</t>
        </is>
      </c>
      <c r="B10" s="22" t="inlineStr">
        <is>
          <t>Reloj</t>
        </is>
      </c>
      <c r="C10" s="22" t="inlineStr">
        <is>
          <t>VERIFICADO_FOCAL</t>
        </is>
      </c>
      <c r="D10" s="22" t="inlineStr">
        <is>
          <t>Bar close PIT y risk equity MTM</t>
        </is>
      </c>
      <c r="E10" s="22" t="inlineStr">
        <is>
          <t>2921f6d</t>
        </is>
      </c>
      <c r="F10" s="22" t="inlineStr">
        <is>
          <t>TAP-016;TAP-017</t>
        </is>
      </c>
      <c r="G10" s="22" t="inlineStr">
        <is>
          <t>https://github.com/Extr3sao/bot_crypto/issues/12</t>
        </is>
      </c>
      <c r="H10" s="22" t="inlineStr">
        <is>
          <t>2026-10-18</t>
        </is>
      </c>
    </row>
    <row r="11" ht="31" customHeight="1" s="82">
      <c r="A11" s="22" t="inlineStr">
        <is>
          <t>RFC-TAP-AI-BOTS-003 B</t>
        </is>
      </c>
      <c r="B11" s="22" t="inlineStr">
        <is>
          <t>Paper causal</t>
        </is>
      </c>
      <c r="C11" s="22" t="inlineStr">
        <is>
          <t>VERIFICADO_FOCAL</t>
        </is>
      </c>
      <c r="D11" s="22" t="inlineStr">
        <is>
          <t>Primer precio de apertura posterior + stops y costes</t>
        </is>
      </c>
      <c r="E11" s="22" t="inlineStr">
        <is>
          <t>ffbc0ca</t>
        </is>
      </c>
      <c r="F11" s="22" t="inlineStr">
        <is>
          <t>TAP-018;TAP-019</t>
        </is>
      </c>
      <c r="G11" s="22" t="inlineStr">
        <is>
          <t>https://github.com/Extr3sao/bot_crypto/issues/12</t>
        </is>
      </c>
      <c r="H11" s="22" t="inlineStr">
        <is>
          <t>2026-10-18</t>
        </is>
      </c>
    </row>
    <row r="12" ht="31" customHeight="1" s="82">
      <c r="A12" s="22" t="inlineStr">
        <is>
          <t>RFC-TAP-AI-BOTS-003 C</t>
        </is>
      </c>
      <c r="B12" s="22" t="inlineStr">
        <is>
          <t>Risk gaps</t>
        </is>
      </c>
      <c r="C12" s="22" t="inlineStr">
        <is>
          <t>VERIFICADO_FOCAL</t>
        </is>
      </c>
      <c r="D12" s="22" t="inlineStr">
        <is>
          <t>OPEN GAPS+risk y cobertura PIT; 459 tests focales previos; 120 checks/53 mutaciones regeneradas; pin datos 1000 bars</t>
        </is>
      </c>
      <c r="E12" s="22" t="inlineStr">
        <is>
          <t>86d4f12 · 0841d37 (pines y reproducibilidad)</t>
        </is>
      </c>
      <c r="F12" s="22" t="inlineStr">
        <is>
          <t>TAP-020;TAP-021;TAP-022</t>
        </is>
      </c>
      <c r="G12" s="22" t="inlineStr">
        <is>
          <t>https://github.com/Extr3sao/bot_crypto/issues/12</t>
        </is>
      </c>
      <c r="H12" s="22" t="inlineStr">
        <is>
          <t>2026-10-18</t>
        </is>
      </c>
    </row>
    <row r="13" ht="31" customHeight="1" s="82">
      <c r="A13" s="22" t="inlineStr">
        <is>
          <t>RFC-TAP-AI-BOTS-003 D/E</t>
        </is>
      </c>
      <c r="B13" s="22" t="inlineStr">
        <is>
          <t>Modelo y captura</t>
        </is>
      </c>
      <c r="C13" s="22" t="inlineStr">
        <is>
          <t>PENDIENTE</t>
        </is>
      </c>
      <c r="D13" s="22" t="inlineStr">
        <is>
          <t>Receipts reales, provider offline, feed sub-bar y prospectivo</t>
        </is>
      </c>
      <c r="E13" s="22" t="inlineStr">
        <is>
          <t>No ejecutado</t>
        </is>
      </c>
      <c r="F13" s="22" t="inlineStr">
        <is>
          <t>TAP-023;TAP-024;TAP-025</t>
        </is>
      </c>
      <c r="G13" s="22" t="inlineStr">
        <is>
          <t>https://github.com/Extr3sao/bot_crypto/issues/12</t>
        </is>
      </c>
      <c r="H13" s="22" t="inlineStr">
        <is>
          <t>2026-10-18</t>
        </is>
      </c>
    </row>
    <row r="14" ht="31" customHeight="1" s="82">
      <c r="A14" s="22" t="inlineStr">
        <is>
          <t>RFC-TAP-AI-BOTS-004</t>
        </is>
      </c>
      <c r="B14" s="22" t="inlineStr">
        <is>
          <t>Critic REA</t>
        </is>
      </c>
      <c r="C14" s="22" t="inlineStr">
        <is>
          <t>PROPUESTO</t>
        </is>
      </c>
      <c r="D14" s="22" t="inlineStr">
        <is>
          <t>TradingAgents → REA HTML + Python debate → BOT-CRI-01 SHADOW</t>
        </is>
      </c>
      <c r="E14" s="22" t="inlineStr">
        <is>
          <t>Issue #14; paquete preparado</t>
        </is>
      </c>
      <c r="F14" s="22" t="inlineStr">
        <is>
          <t>TAP-027;TAP-028;TAP-029;TAP-030;TAP-031</t>
        </is>
      </c>
      <c r="G14" s="22" t="inlineStr">
        <is>
          <t>https://github.com/Extr3sao/bot_crypto/issues/14</t>
        </is>
      </c>
      <c r="H14" s="22" t="inlineStr">
        <is>
          <t>2026-10-18</t>
        </is>
      </c>
    </row>
    <row r="15" ht="31" customHeight="1" s="82">
      <c r="A15" s="22" t="inlineStr">
        <is>
          <t>RFC-TAP-EDGE-001</t>
        </is>
      </c>
      <c r="B15" s="22" t="inlineStr">
        <is>
          <t>Estrategias</t>
        </is>
      </c>
      <c r="C15" s="22" t="inlineStr">
        <is>
          <t>PLANIFICADO</t>
        </is>
      </c>
      <c r="D15" s="22" t="inlineStr">
        <is>
          <t>INTRA-A/INTRA-B/TREND-C y validación OOS</t>
        </is>
      </c>
      <c r="E15" s="22" t="inlineStr">
        <is>
          <t>Documento local de diseño</t>
        </is>
      </c>
      <c r="F15" s="22" t="inlineStr">
        <is>
          <t>TAP-038;TAP-039;TAP-040;TAP-041</t>
        </is>
      </c>
      <c r="G15" s="22" t="inlineStr">
        <is>
          <t>https://github.com/Extr3sao/bot_crypto/issues/10</t>
        </is>
      </c>
      <c r="H15" s="22" t="inlineStr">
        <is>
          <t>2026-10-18</t>
        </is>
      </c>
    </row>
    <row r="16" ht="31" customHeight="1" s="82">
      <c r="A16" s="22" t="inlineStr">
        <is>
          <t>STRATEGY ADMISSION</t>
        </is>
      </c>
      <c r="B16" s="22" t="inlineStr">
        <is>
          <t>Estrategias</t>
        </is>
      </c>
      <c r="C16" s="22" t="inlineStr">
        <is>
          <t>BLOQUEADO</t>
        </is>
      </c>
      <c r="D16" s="22" t="inlineStr">
        <is>
          <t>Ninguna estrategia admitida al trading runtime paper</t>
        </is>
      </c>
      <c r="E16" s="22" t="inlineStr">
        <is>
          <t>config/strategy_admission.json 017F</t>
        </is>
      </c>
      <c r="F16" s="22" t="inlineStr">
        <is>
          <t>TAP-035</t>
        </is>
      </c>
      <c r="G16" s="22" t="inlineStr">
        <is>
          <t>https://github.com/Extr3sao/bot_crypto/issues/10</t>
        </is>
      </c>
      <c r="H16" s="22" t="inlineStr">
        <is>
          <t>2026-10-18</t>
        </is>
      </c>
    </row>
    <row r="17" ht="31" customHeight="1" s="82">
      <c r="A17" s="22" t="inlineStr">
        <is>
          <t>MASTER PLATFORM VNEXT</t>
        </is>
      </c>
      <c r="B17" s="22" t="inlineStr">
        <is>
          <t>Arquitectura</t>
        </is>
      </c>
      <c r="C17" s="22" t="inlineStr">
        <is>
          <t>DISEÑADO</t>
        </is>
      </c>
      <c r="D17" s="22" t="inlineStr">
        <is>
          <t>Multi-asset, multi-strategy, multi-agent; sin certificar end-to-end</t>
        </is>
      </c>
      <c r="E17" s="22" t="inlineStr">
        <is>
          <t>14 docs de referencia</t>
        </is>
      </c>
      <c r="F17" s="22" t="inlineStr">
        <is>
          <t>TAP-032;TAP-033;TAP-034;TAP-044</t>
        </is>
      </c>
      <c r="G17" s="22" t="inlineStr">
        <is>
          <t>https://github.com/Extr3sao/bot_crypto</t>
        </is>
      </c>
      <c r="H17" s="22" t="inlineStr">
        <is>
          <t>2026-10-18</t>
        </is>
      </c>
    </row>
    <row r="18" ht="31" customHeight="1" s="82">
      <c r="A18" s="22" t="inlineStr">
        <is>
          <t>ROADMAP-MASTER-001</t>
        </is>
      </c>
      <c r="B18" s="22" t="inlineStr">
        <is>
          <t>Gestión proyecto</t>
        </is>
      </c>
      <c r="C18" s="22" t="inlineStr">
        <is>
          <t>EN_CURSO</t>
        </is>
      </c>
      <c r="D18" s="22" t="inlineStr">
        <is>
          <t>Excel vivo y tracker versionado + control de cambios</t>
        </is>
      </c>
      <c r="E18" s="22" t="inlineStr">
        <is>
          <t>Corte 2026-10-18</t>
        </is>
      </c>
      <c r="F18" s="22" t="inlineStr">
        <is>
          <t>TAP-056;TAP-057</t>
        </is>
      </c>
      <c r="G18" s="22" t="inlineStr">
        <is>
          <t>https://github.com/Extr3sao/bot_crypto</t>
        </is>
      </c>
      <c r="H18" s="22" t="inlineStr">
        <is>
          <t>2026-10-18</t>
        </is>
      </c>
    </row>
    <row r="19">
      <c r="A19" t="inlineStr">
        <is>
          <t>WP-OPS-BACKGROUND-001</t>
        </is>
      </c>
      <c r="B19" t="inlineStr">
        <is>
          <t>Windows UX</t>
        </is>
      </c>
      <c r="C19" t="inlineStr">
        <is>
          <t>VERIFICADO_FOCAL</t>
        </is>
      </c>
      <c r="D19" t="inlineStr">
        <is>
          <t>Windowless propio probado; bloqueo Freebuff externo y tarea programada sin activar</t>
        </is>
      </c>
      <c r="E19" t="inlineStr">
        <is>
          <t>fe9b5e2 · FINAL_REPORT / RUN_REPORT</t>
        </is>
      </c>
      <c r="F19" t="inlineStr">
        <is>
          <t>TAP-061;TAP-062;TAP-063</t>
        </is>
      </c>
      <c r="G19" t="inlineStr">
        <is>
          <t>https://github.com/Extr3sao/bot_crypto/blob/agent/ai-bots/RFC-TAP-AI-BOTS-003/reports/ops/WP-OPS-BACKGROUND-001/FINAL_REPORT.md</t>
        </is>
      </c>
      <c r="H19" t="inlineStr">
        <is>
          <t>2026-10-18</t>
        </is>
      </c>
    </row>
    <row r="20">
      <c r="A20" t="inlineStr">
        <is>
          <t>RFC-TAP-MARKET-005</t>
        </is>
      </c>
      <c r="B20" t="inlineStr">
        <is>
          <t>Market Data &amp; AI</t>
        </is>
      </c>
      <c r="C20" t="inlineStr">
        <is>
          <t>IMPLEMENTADO_OFFLINE</t>
        </is>
      </c>
      <c r="D20" t="inlineStr">
        <is>
          <t>Lector incremental, snapshot PIT y gate IA por evento; 8/8 checks, 5/5 mutaciones; WP-005H (host) sin ejecutar</t>
        </is>
      </c>
      <c r="E20" t="inlineStr">
        <is>
          <t>c6bb431 / reports/market-data/RFC-TAP-MARKET-005</t>
        </is>
      </c>
      <c r="F20" t="inlineStr">
        <is>
          <t>TAP-064..TAP-071</t>
        </is>
      </c>
      <c r="G20" t="inlineStr">
        <is>
          <t>https://github.com/Extr3sao/bot_crypto/tree/agent/market/RFC-TAP-MARKET-005</t>
        </is>
      </c>
      <c r="H20" t="inlineStr">
        <is>
          <t>2026-10-18</t>
        </is>
      </c>
    </row>
  </sheetData>
  <mergeCells count="2">
    <mergeCell ref="A1:H2"/>
    <mergeCell ref="A3:H3"/>
  </mergeCells>
  <conditionalFormatting sqref="C6:C18">
    <cfRule type="expression" priority="1" dxfId="0">
      <formula>C6="VERIFICADO_FOCAL"</formula>
    </cfRule>
    <cfRule type="expression" priority="2" dxfId="1">
      <formula>C6="IMPLEMENTADO"</formula>
    </cfRule>
    <cfRule type="expression" priority="3" dxfId="2">
      <formula>C6="EN_CURSO"</formula>
    </cfRule>
    <cfRule type="expression" priority="4" dxfId="3">
      <formula>C6="PENDIENTE"</formula>
    </cfRule>
    <cfRule type="expression" priority="5" dxfId="4">
      <formula>C6="PLANIFICADO"</formula>
    </cfRule>
    <cfRule type="expression" priority="6" dxfId="5">
      <formula>C6="PROPUESTO"</formula>
    </cfRule>
    <cfRule type="expression" priority="7" dxfId="6">
      <formula>C6="BLOQUEADO"</formula>
    </cfRule>
    <cfRule type="expression" priority="8" dxfId="7">
      <formula>C6="RECHAZADO"</formula>
    </cfRule>
    <cfRule type="expression" priority="9" dxfId="8">
      <formula>C6="NO_APLICA"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3" customWidth="1" style="82" min="1" max="1"/>
    <col width="10" customWidth="1" style="82" min="2" max="2"/>
    <col width="16" customWidth="1" style="82" min="3" max="3"/>
    <col width="47" customWidth="1" style="82" min="4" max="4"/>
    <col width="22" customWidth="1" style="82" min="5" max="5"/>
    <col width="25" customWidth="1" style="82" min="6" max="6"/>
    <col width="29" customWidth="1" style="82" min="7" max="7"/>
    <col width="75" customWidth="1" style="82" min="8" max="8"/>
    <col width="64" customWidth="1" style="82" min="9" max="9"/>
    <col width="16" customWidth="1" style="82" min="10" max="10"/>
  </cols>
  <sheetData>
    <row r="1" ht="26" customHeight="1" s="82">
      <c r="A1" s="7" t="inlineStr">
        <is>
          <t>BLOQUEOS, RIESGOS Y DECISIONES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24" customHeight="1" s="82">
      <c r="A3" s="13" t="inlineStr">
        <is>
          <t>Bloqueos levantados solo con ejecución, pruebas, aprobación cuando proceda y evidencia.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Prio</t>
        </is>
      </c>
      <c r="C5" s="16" t="inlineStr">
        <is>
          <t>Impacto</t>
        </is>
      </c>
      <c r="D5" s="16" t="inlineStr">
        <is>
          <t>Bloqueo</t>
        </is>
      </c>
      <c r="E5" s="16" t="inlineStr">
        <is>
          <t>Frente</t>
        </is>
      </c>
      <c r="F5" s="16" t="inlineStr">
        <is>
          <t>Items afectados</t>
        </is>
      </c>
      <c r="G5" s="16" t="inlineStr">
        <is>
          <t>Código</t>
        </is>
      </c>
      <c r="H5" s="16" t="inlineStr">
        <is>
          <t>Evidencia / lectura</t>
        </is>
      </c>
      <c r="I5" s="16" t="inlineStr">
        <is>
          <t>Siguiente desbloqueo</t>
        </is>
      </c>
      <c r="J5" s="16" t="inlineStr">
        <is>
          <t>Estado</t>
        </is>
      </c>
    </row>
    <row r="6" ht="31" customHeight="1" s="82">
      <c r="A6" s="22" t="inlineStr">
        <is>
          <t>BL-01</t>
        </is>
      </c>
      <c r="B6" s="22" t="inlineStr">
        <is>
          <t>P0</t>
        </is>
      </c>
      <c r="C6" s="22" t="inlineStr">
        <is>
          <t>Alta</t>
        </is>
      </c>
      <c r="D6" s="22" t="inlineStr">
        <is>
          <t>Proveedor de IA real sin credencial/autorización</t>
        </is>
      </c>
      <c r="E6" s="22" t="inlineStr">
        <is>
          <t>MODELO</t>
        </is>
      </c>
      <c r="F6" s="22" t="inlineStr">
        <is>
          <t>TAP-025; TAP-026</t>
        </is>
      </c>
      <c r="G6" s="22" t="inlineStr">
        <is>
          <t>MODEL_API_UNAVAILABLE</t>
        </is>
      </c>
      <c r="H6" s="22" t="inlineStr">
        <is>
          <t>No realizar llamadas de pago ni afirmar real_model_called</t>
        </is>
      </c>
      <c r="I6" s="22" t="inlineStr">
        <is>
          <t>Usuario: key local y autorizar coste acotado</t>
        </is>
      </c>
      <c r="J6" s="22" t="inlineStr">
        <is>
          <t>BLOQUEADO</t>
        </is>
      </c>
    </row>
    <row r="7" ht="31" customHeight="1" s="82">
      <c r="A7" s="22" t="inlineStr">
        <is>
          <t>BL-02</t>
        </is>
      </c>
      <c r="B7" s="22" t="inlineStr">
        <is>
          <t>P0</t>
        </is>
      </c>
      <c r="C7" s="22" t="inlineStr">
        <is>
          <t>Alta</t>
        </is>
      </c>
      <c r="D7" s="22" t="inlineStr">
        <is>
          <t>Sin mejora económica robusta</t>
        </is>
      </c>
      <c r="E7" s="22" t="inlineStr">
        <is>
          <t>RENTABILIDAD</t>
        </is>
      </c>
      <c r="F7" s="22" t="inlineStr">
        <is>
          <t>TAP-041; TAP-058</t>
        </is>
      </c>
      <c r="G7" s="22" t="inlineStr">
        <is>
          <t>ECONOMIC_EDGE_UNPROVEN</t>
        </is>
      </c>
      <c r="H7" s="22" t="inlineStr">
        <is>
          <t>EDGE neto -238.77 USDT; IA mock -15.68/-97.93 en escenarios no equiparables</t>
        </is>
      </c>
      <c r="I7" s="22" t="inlineStr">
        <is>
          <t>Diseñar y correr OOS prospectivo por estrategias</t>
        </is>
      </c>
      <c r="J7" s="22" t="inlineStr">
        <is>
          <t>ABIERTO</t>
        </is>
      </c>
    </row>
    <row r="8" ht="31" customHeight="1" s="82">
      <c r="A8" s="22" t="inlineStr">
        <is>
          <t>BL-03</t>
        </is>
      </c>
      <c r="B8" s="22" t="inlineStr">
        <is>
          <t>P0</t>
        </is>
      </c>
      <c r="C8" s="22" t="inlineStr">
        <is>
          <t>Alta</t>
        </is>
      </c>
      <c r="D8" s="22" t="inlineStr">
        <is>
          <t>Sin estrategia admitida al runtime paper</t>
        </is>
      </c>
      <c r="E8" s="22" t="inlineStr">
        <is>
          <t>TRADING</t>
        </is>
      </c>
      <c r="F8" s="22" t="inlineStr">
        <is>
          <t>TAP-035</t>
        </is>
      </c>
      <c r="G8" s="22" t="inlineStr">
        <is>
          <t>NO_ADMITTED_STRATEGY</t>
        </is>
      </c>
      <c r="H8" s="22" t="inlineStr">
        <is>
          <t>Experiment lane NO equivale canonical paper admission</t>
        </is>
      </c>
      <c r="I8" s="22" t="inlineStr">
        <is>
          <t>Gate OOS/risk y promover solo evidencia</t>
        </is>
      </c>
      <c r="J8" s="22" t="inlineStr">
        <is>
          <t>ABIERTO</t>
        </is>
      </c>
    </row>
    <row r="9" ht="31" customHeight="1" s="82">
      <c r="A9" s="22" t="inlineStr">
        <is>
          <t>BL-04</t>
        </is>
      </c>
      <c r="B9" s="22" t="inlineStr">
        <is>
          <t>P0</t>
        </is>
      </c>
      <c r="C9" s="22" t="inlineStr">
        <is>
          <t>Alta</t>
        </is>
      </c>
      <c r="D9" s="22" t="inlineStr">
        <is>
          <t>Suite full del repo sin PASS</t>
        </is>
      </c>
      <c r="E9" s="22" t="inlineStr">
        <is>
          <t>CALIDAD</t>
        </is>
      </c>
      <c r="F9" s="22" t="inlineStr">
        <is>
          <t>TAP-048</t>
        </is>
      </c>
      <c r="G9" s="22" t="inlineStr">
        <is>
          <t>GLOBAL_TEST_GATE_FAIL</t>
        </is>
      </c>
      <c r="H9" s="22" t="inlineStr">
        <is>
          <t>EDGE 4070 PASS / 14 FAIL; AI full no ejecutada</t>
        </is>
      </c>
      <c r="I9" s="22" t="inlineStr">
        <is>
          <t>Resolver con owner, ejecutar checkout limpio</t>
        </is>
      </c>
      <c r="J9" s="22" t="inlineStr">
        <is>
          <t>ABIERTO</t>
        </is>
      </c>
    </row>
    <row r="10" ht="31" customHeight="1" s="82">
      <c r="A10" s="22" t="inlineStr">
        <is>
          <t>BL-05</t>
        </is>
      </c>
      <c r="B10" s="22" t="inlineStr">
        <is>
          <t>P0</t>
        </is>
      </c>
      <c r="C10" s="22" t="inlineStr">
        <is>
          <t>Alta</t>
        </is>
      </c>
      <c r="D10" s="22" t="inlineStr">
        <is>
          <t>No hay feed prospectivo sub-vela ni latencia real</t>
        </is>
      </c>
      <c r="E10" s="22" t="inlineStr">
        <is>
          <t>DATOS</t>
        </is>
      </c>
      <c r="F10" s="22" t="inlineStr">
        <is>
          <t>TAP-024; TAP-026</t>
        </is>
      </c>
      <c r="G10" s="22" t="inlineStr">
        <is>
          <t>PROSPECTIVE_PRICE_SOURCE_MISSING</t>
        </is>
      </c>
      <c r="H10" s="22" t="inlineStr">
        <is>
          <t>Replays 1h y latencia declarada; no ticks observados</t>
        </is>
      </c>
      <c r="I10" s="22" t="inlineStr">
        <is>
          <t>Implementar collector que registre reception timestamps y hashes</t>
        </is>
      </c>
      <c r="J10" s="22" t="inlineStr">
        <is>
          <t>ABIERTO</t>
        </is>
      </c>
    </row>
    <row r="11" ht="31" customHeight="1" s="82">
      <c r="A11" s="22" t="inlineStr">
        <is>
          <t>BL-06</t>
        </is>
      </c>
      <c r="B11" s="22" t="inlineStr">
        <is>
          <t>P0</t>
        </is>
      </c>
      <c r="C11" s="22" t="inlineStr">
        <is>
          <t>Alta</t>
        </is>
      </c>
      <c r="D11" s="22" t="inlineStr">
        <is>
          <t>Captura continua sin scheduler</t>
        </is>
      </c>
      <c r="E11" s="22" t="inlineStr">
        <is>
          <t>INFRA</t>
        </is>
      </c>
      <c r="F11" s="22" t="inlineStr">
        <is>
          <t>TAP-049</t>
        </is>
      </c>
      <c r="G11" s="22" t="inlineStr">
        <is>
          <t>MANUAL_COLLECTOR</t>
        </is>
      </c>
      <c r="H11" s="22" t="inlineStr">
        <is>
          <t>24 barras manuales, solo 6 al cierre</t>
        </is>
      </c>
      <c r="I11" s="22" t="inlineStr">
        <is>
          <t>Programación sin privilegios si factible; aprobación si admin</t>
        </is>
      </c>
      <c r="J11" s="22" t="inlineStr">
        <is>
          <t>ABIERTO</t>
        </is>
      </c>
    </row>
    <row r="12" ht="31" customHeight="1" s="82">
      <c r="A12" s="22" t="inlineStr">
        <is>
          <t>BL-07</t>
        </is>
      </c>
      <c r="B12" s="22" t="inlineStr">
        <is>
          <t>P0</t>
        </is>
      </c>
      <c r="C12" s="22" t="inlineStr">
        <is>
          <t>Alta</t>
        </is>
      </c>
      <c r="D12" s="22" t="inlineStr">
        <is>
          <t>Host históricamente 99% disco ocupado</t>
        </is>
      </c>
      <c r="E12" s="22" t="inlineStr">
        <is>
          <t>INFRA</t>
        </is>
      </c>
      <c r="F12" s="22" t="inlineStr">
        <is>
          <t>TAP-050</t>
        </is>
      </c>
      <c r="G12" s="22" t="inlineStr">
        <is>
          <t>DISK_PRECHECK_REQUIRED</t>
        </is>
      </c>
      <c r="H12" s="22" t="inlineStr">
        <is>
          <t>Informe 017F habló de ~4.2 GB libres; no lectura de hoy</t>
        </is>
      </c>
      <c r="I12" s="22" t="inlineStr">
        <is>
          <t>Auditar en runtime, no borrar datos ni worktrees ajenos</t>
        </is>
      </c>
      <c r="J12" s="22" t="inlineStr">
        <is>
          <t>ABIERTO</t>
        </is>
      </c>
    </row>
    <row r="13" ht="31" customHeight="1" s="82">
      <c r="A13" s="22" t="inlineStr">
        <is>
          <t>BL-08</t>
        </is>
      </c>
      <c r="B13" s="22" t="inlineStr">
        <is>
          <t>P1</t>
        </is>
      </c>
      <c r="C13" s="22" t="inlineStr">
        <is>
          <t>Media</t>
        </is>
      </c>
      <c r="D13" s="22" t="inlineStr">
        <is>
          <t>Cambios concurrentes ~180 archivos ajenos</t>
        </is>
      </c>
      <c r="E13" s="22" t="inlineStr">
        <is>
          <t>GITHUB</t>
        </is>
      </c>
      <c r="F13" s="22" t="inlineStr">
        <is>
          <t>TAP-048; TAP-057</t>
        </is>
      </c>
      <c r="G13" s="22" t="inlineStr">
        <is>
          <t>DIRTY_WORKTREE</t>
        </is>
      </c>
      <c r="H13" s="22" t="inlineStr">
        <is>
          <t>No tocar staged/untracked ajenos; GitHub por rama</t>
        </is>
      </c>
      <c r="I13" s="22" t="inlineStr">
        <is>
          <t>Aislar build/clone limpio y push fast-forward</t>
        </is>
      </c>
      <c r="J13" s="22" t="inlineStr">
        <is>
          <t>ABIERTO</t>
        </is>
      </c>
    </row>
    <row r="14" ht="31" customHeight="1" s="82">
      <c r="A14" s="22" t="inlineStr">
        <is>
          <t>BL-09</t>
        </is>
      </c>
      <c r="B14" s="22" t="inlineStr">
        <is>
          <t>P0</t>
        </is>
      </c>
      <c r="C14" s="22" t="inlineStr">
        <is>
          <t>Media</t>
        </is>
      </c>
      <c r="D14" s="22" t="inlineStr">
        <is>
          <t>Política fin de semana no permite 7/7</t>
        </is>
      </c>
      <c r="E14" s="22" t="inlineStr">
        <is>
          <t>RISK</t>
        </is>
      </c>
      <c r="F14" s="22" t="inlineStr">
        <is>
          <t>TAP-042</t>
        </is>
      </c>
      <c r="G14" s="22" t="inlineStr">
        <is>
          <t>WEEKEND_TRADING_FALSE</t>
        </is>
      </c>
      <c r="H14" s="22" t="inlineStr">
        <is>
          <t>Objetivo ACTIVE 3 fills diarios 7/7 no equivale permiso</t>
        </is>
      </c>
      <c r="I14" s="22" t="inlineStr">
        <is>
          <t>Revisar riesgos y obtener aprobación explícita antes de cambiar</t>
        </is>
      </c>
      <c r="J14" s="22" t="inlineStr">
        <is>
          <t>BLOQUEADO</t>
        </is>
      </c>
    </row>
    <row r="15" ht="31" customHeight="1" s="82">
      <c r="A15" s="22" t="inlineStr">
        <is>
          <t>BL-10</t>
        </is>
      </c>
      <c r="B15" s="22" t="inlineStr">
        <is>
          <t>P1</t>
        </is>
      </c>
      <c r="C15" s="22" t="inlineStr">
        <is>
          <t>Media</t>
        </is>
      </c>
      <c r="D15" s="22" t="inlineStr">
        <is>
          <t>5/7 evidencias REA no verificadas por bytes</t>
        </is>
      </c>
      <c r="E15" s="22" t="inlineStr">
        <is>
          <t>REA</t>
        </is>
      </c>
      <c r="F15" s="22" t="inlineStr">
        <is>
          <t>TAP-011</t>
        </is>
      </c>
      <c r="G15" s="22" t="inlineStr">
        <is>
          <t>PARTIAL_RAW_PROVENANCE</t>
        </is>
      </c>
      <c r="H15" s="22" t="inlineStr">
        <is>
          <t>7 IDs no significan siete artefactos comprobados</t>
        </is>
      </c>
      <c r="I15" s="22" t="inlineStr">
        <is>
          <t>Solo ampliar cuando patrón diferencial lo justifique</t>
        </is>
      </c>
      <c r="J15" s="22" t="inlineStr">
        <is>
          <t>ABIERTO</t>
        </is>
      </c>
    </row>
    <row r="16" ht="31" customHeight="1" s="82">
      <c r="A16" s="22" t="inlineStr">
        <is>
          <t>BL-11</t>
        </is>
      </c>
      <c r="B16" s="22" t="inlineStr">
        <is>
          <t>P1</t>
        </is>
      </c>
      <c r="C16" s="22" t="inlineStr">
        <is>
          <t>Media</t>
        </is>
      </c>
      <c r="D16" s="22" t="inlineStr">
        <is>
          <t>BOT-CRI-01 diseño sin REA ni runtime</t>
        </is>
      </c>
      <c r="E16" s="22" t="inlineStr">
        <is>
          <t>AGENTES</t>
        </is>
      </c>
      <c r="F16" s="22" t="inlineStr">
        <is>
          <t>TAP-027;TAP-028</t>
        </is>
      </c>
      <c r="G16" s="22" t="inlineStr">
        <is>
          <t>DESIGN_ONLY</t>
        </is>
      </c>
      <c r="H16" s="22" t="inlineStr">
        <is>
          <t>Repositorio TradingAgents pinned, análisis externo de fuente</t>
        </is>
      </c>
      <c r="I16" s="22" t="inlineStr">
        <is>
          <t>Laboratorio REA + Python stub sin red</t>
        </is>
      </c>
      <c r="J16" s="22" t="inlineStr">
        <is>
          <t>ABIERTO</t>
        </is>
      </c>
    </row>
    <row r="17" ht="31" customHeight="1" s="82">
      <c r="A17" s="22" t="inlineStr">
        <is>
          <t>BL-12</t>
        </is>
      </c>
      <c r="B17" s="22" t="inlineStr">
        <is>
          <t>P0</t>
        </is>
      </c>
      <c r="C17" s="22" t="inlineStr">
        <is>
          <t>Alta</t>
        </is>
      </c>
      <c r="D17" s="22" t="inlineStr">
        <is>
          <t>Ramas EDGE, EVIDENCE y AI no integradas en main</t>
        </is>
      </c>
      <c r="E17" s="22" t="inlineStr">
        <is>
          <t>ARQUITECTURA</t>
        </is>
      </c>
      <c r="F17" s="22" t="inlineStr">
        <is>
          <t>TAP-001;TAP-048</t>
        </is>
      </c>
      <c r="G17" s="22" t="inlineStr">
        <is>
          <t>BRANCH_DIVERGENCE</t>
        </is>
      </c>
      <c r="H17" s="22" t="inlineStr">
        <is>
          <t>main atrasado a 2026-09-22; ramas en octubre</t>
        </is>
      </c>
      <c r="I17" s="22" t="inlineStr">
        <is>
          <t>Integración guiada solo tras tests/reachability</t>
        </is>
      </c>
      <c r="J17" s="22" t="inlineStr">
        <is>
          <t>ABIERTO</t>
        </is>
      </c>
    </row>
    <row r="18" ht="31" customHeight="1" s="82">
      <c r="A18" s="22" t="inlineStr">
        <is>
          <t>BL-13</t>
        </is>
      </c>
      <c r="B18" s="22" t="inlineStr">
        <is>
          <t>P1</t>
        </is>
      </c>
      <c r="C18" s="22" t="inlineStr">
        <is>
          <t>Media</t>
        </is>
      </c>
      <c r="D18" s="22" t="inlineStr">
        <is>
          <t>Ablation del crítico/visual sin señal IA real</t>
        </is>
      </c>
      <c r="E18" s="22" t="inlineStr">
        <is>
          <t>ECONOMIA</t>
        </is>
      </c>
      <c r="F18" s="22" t="inlineStr">
        <is>
          <t>TAP-026;TAP-031</t>
        </is>
      </c>
      <c r="G18" s="22" t="inlineStr">
        <is>
          <t>MOCK_NO_INFORMATION</t>
        </is>
      </c>
      <c r="H18" s="22" t="inlineStr">
        <is>
          <t>Guion ignora prompt, ambos bots idénticos</t>
        </is>
      </c>
      <c r="I18" s="22" t="inlineStr">
        <is>
          <t>Receipts + experimento matched y muestras</t>
        </is>
      </c>
      <c r="J18" s="22" t="inlineStr">
        <is>
          <t>ABIERTO</t>
        </is>
      </c>
    </row>
    <row r="19">
      <c r="A19" t="inlineStr">
        <is>
          <t>BL-14</t>
        </is>
      </c>
      <c r="B19" t="inlineStr">
        <is>
          <t>P1</t>
        </is>
      </c>
      <c r="C19" t="inlineStr">
        <is>
          <t>Alta</t>
        </is>
      </c>
      <c r="D19" t="inlineStr">
        <is>
          <t>Freebuff crea consola visible mediante bun.exe → bash.exe</t>
        </is>
      </c>
      <c r="E19" t="inlineStr">
        <is>
          <t>WINDOWS_UX</t>
        </is>
      </c>
      <c r="F19" t="inlineStr">
        <is>
          <t>TAP-061;TAP-062</t>
        </is>
      </c>
      <c r="G19" t="inlineStr">
        <is>
          <t>EXTERNAL_WINDOWS_HIDE_MISSING</t>
        </is>
      </c>
      <c r="H19" t="inlineStr">
        <is>
          <t>fe9b5e2: PE GUI→CONSOLE; 0 HIGH internos; visual NOT_OBSERVABLE</t>
        </is>
      </c>
      <c r="I19" t="inlineStr">
        <is>
          <t>Corrección oficial Freebuff Bun.spawn windowsHide y test visual real</t>
        </is>
      </c>
      <c r="J19" t="inlineStr">
        <is>
          <t>BLOQUEADO_EXTERNO</t>
        </is>
      </c>
    </row>
    <row r="20">
      <c r="A20" t="inlineStr">
        <is>
          <t>BL-15</t>
        </is>
      </c>
      <c r="B20" t="inlineStr">
        <is>
          <t>P1</t>
        </is>
      </c>
      <c r="C20" t="inlineStr">
        <is>
          <t>Media</t>
        </is>
      </c>
      <c r="D20" t="inlineStr">
        <is>
          <t>Task Scheduler sin acción pythonw/windowless instalada</t>
        </is>
      </c>
      <c r="E20" t="inlineStr">
        <is>
          <t>WINDOWS_AUTOMATION</t>
        </is>
      </c>
      <c r="F20" t="inlineStr">
        <is>
          <t>TAP-063</t>
        </is>
      </c>
      <c r="G20" t="inlineStr">
        <is>
          <t>SCHEDULER_NOT_ACTIVATED</t>
        </is>
      </c>
      <c r="H20" t="inlineStr">
        <is>
          <t>XML testeado; no se modificó la tarea programada del host</t>
        </is>
      </c>
      <c r="I20" t="inlineStr">
        <is>
          <t>Instalar con autorización y verificar ejecución visual y cancelación</t>
        </is>
      </c>
      <c r="J20" t="inlineStr">
        <is>
          <t>PENDIENTE_AUTORIZACION</t>
        </is>
      </c>
    </row>
    <row r="21">
      <c r="A21" t="inlineStr">
        <is>
          <t>BL-16</t>
        </is>
      </c>
      <c r="B21" t="inlineStr">
        <is>
          <t>P0</t>
        </is>
      </c>
      <c r="C21" t="inlineStr">
        <is>
          <t>Alta</t>
        </is>
      </c>
      <c r="D21" t="inlineStr">
        <is>
          <t>Origen exacto de descargas 1000/500/500 no atribuido al proceso/tarea</t>
        </is>
      </c>
      <c r="E21" t="inlineStr">
        <is>
          <t>MARKET_DATA</t>
        </is>
      </c>
      <c r="F21" t="inlineStr">
        <is>
          <t>TAP-064; TAP-065</t>
        </is>
      </c>
      <c r="G21" t="inlineStr">
        <is>
          <t>FETCH_ORIGIN_NOT_ATTRIBUTED</t>
        </is>
      </c>
      <c r="H21" t="inlineStr">
        <is>
          <t>Atribución por código: solo real_market_context.fetch_provider_ohlcv usa 1000/500/500; CAP004 1080 NOOP / 1 RUN; la captura del usuario es NOT_ATTRIBUTABLE.</t>
        </is>
      </c>
      <c r="I21" t="inlineStr">
        <is>
          <t>No se puede reconstruir un proceso terminado; no se inventa la atribución.</t>
        </is>
      </c>
      <c r="J21" t="inlineStr">
        <is>
          <t>ABIERTO</t>
        </is>
      </c>
    </row>
    <row r="22">
      <c r="A22" t="inlineStr">
        <is>
          <t>BL-17</t>
        </is>
      </c>
      <c r="B22" t="inlineStr">
        <is>
          <t>P0</t>
        </is>
      </c>
      <c r="C22" t="inlineStr">
        <is>
          <t>Alta</t>
        </is>
      </c>
      <c r="D22" t="inlineStr">
        <is>
          <t>Datos de market no integrados de forma incremental ni en inferencia LLM real</t>
        </is>
      </c>
      <c r="E22" t="inlineStr">
        <is>
          <t>DATA_TO_AI</t>
        </is>
      </c>
      <c r="F22" t="inlineStr">
        <is>
          <t>TAP-066;TAP-067;TAP-068</t>
        </is>
      </c>
      <c r="G22" t="inlineStr">
        <is>
          <t>NO_PROSPECTIVE_AI_DATA_PIPELINE</t>
        </is>
      </c>
      <c r="H22" t="inlineStr">
        <is>
          <t>Collector WebSocket DISCOVERY; AI-BOTS-003C replay; REAL_MODEL_CALLED=false</t>
        </is>
      </c>
      <c r="I22" t="inlineStr">
        <is>
          <t>WP-005B..005G; autorizaciones proveedor/gasto para real LLM</t>
        </is>
      </c>
      <c r="J22" t="inlineStr">
        <is>
          <t>ABIERTO</t>
        </is>
      </c>
    </row>
  </sheetData>
  <mergeCells count="2">
    <mergeCell ref="A1:J2"/>
    <mergeCell ref="A3:J3"/>
  </mergeCells>
  <conditionalFormatting sqref="J6:J18">
    <cfRule type="expression" priority="1" dxfId="6">
      <formula>J6="BLOQUEADO"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25" customWidth="1" style="82" min="1" max="1"/>
    <col width="25" customWidth="1" style="82" min="2" max="2"/>
    <col width="18" customWidth="1" style="82" min="3" max="3"/>
    <col width="91" customWidth="1" style="82" min="4" max="4"/>
  </cols>
  <sheetData>
    <row r="1" ht="26" customHeight="1" s="82">
      <c r="A1" s="7" t="inlineStr">
        <is>
          <t>DEPENDENCIAS Y PUERTAS DE FASE</t>
        </is>
      </c>
      <c r="B1" s="1" t="n"/>
      <c r="C1" s="1" t="n"/>
      <c r="D1" s="1" t="n"/>
    </row>
    <row r="2" ht="26" customHeight="1" s="82">
      <c r="A2" s="1" t="n"/>
      <c r="B2" s="1" t="n"/>
      <c r="C2" s="1" t="n"/>
      <c r="D2" s="1" t="n"/>
    </row>
    <row r="3" ht="24" customHeight="1" s="82">
      <c r="A3" s="13" t="inlineStr">
        <is>
          <t>Sin aprobar un gate no se promociona un deliverable posterior.</t>
        </is>
      </c>
      <c r="B3" s="1" t="n"/>
      <c r="C3" s="1" t="n"/>
      <c r="D3" s="1" t="n"/>
    </row>
    <row r="4" ht="9" customHeight="1" s="82"/>
    <row r="5" ht="34" customHeight="1" s="82">
      <c r="A5" s="16" t="inlineStr">
        <is>
          <t>Item dependiente</t>
        </is>
      </c>
      <c r="B5" s="16" t="inlineStr">
        <is>
          <t>Requisito</t>
        </is>
      </c>
      <c r="C5" s="16" t="inlineStr">
        <is>
          <t>Tipo</t>
        </is>
      </c>
      <c r="D5" s="16" t="inlineStr">
        <is>
          <t>Por qué bloquea / impide falso éxito</t>
        </is>
      </c>
    </row>
    <row r="6" ht="31" customHeight="1" s="82">
      <c r="A6" s="22" t="inlineStr">
        <is>
          <t>TAP-023</t>
        </is>
      </c>
      <c r="B6" s="22" t="inlineStr">
        <is>
          <t>TAP-020</t>
        </is>
      </c>
      <c r="C6" s="22" t="inlineStr">
        <is>
          <t>Obligatoria</t>
        </is>
      </c>
      <c r="D6" s="22" t="inlineStr">
        <is>
          <t>Bloque D requiere reloj, precio y riesgo validados</t>
        </is>
      </c>
    </row>
    <row r="7" ht="31" customHeight="1" s="82">
      <c r="A7" s="22" t="inlineStr">
        <is>
          <t>TAP-024</t>
        </is>
      </c>
      <c r="B7" s="22" t="inlineStr">
        <is>
          <t>TAP-021</t>
        </is>
      </c>
      <c r="C7" s="22" t="inlineStr">
        <is>
          <t>Obligatoria</t>
        </is>
      </c>
      <c r="D7" s="22" t="inlineStr">
        <is>
          <t>Collector debe respetar CoverageProof</t>
        </is>
      </c>
    </row>
    <row r="8" ht="31" customHeight="1" s="82">
      <c r="A8" s="22" t="inlineStr">
        <is>
          <t>TAP-025</t>
        </is>
      </c>
      <c r="B8" s="22" t="inlineStr">
        <is>
          <t>TAP-023</t>
        </is>
      </c>
      <c r="C8" s="22" t="inlineStr">
        <is>
          <t>Obligatoria</t>
        </is>
      </c>
      <c r="D8" s="22" t="inlineStr">
        <is>
          <t>Recibos/costes honestos antes del pago</t>
        </is>
      </c>
    </row>
    <row r="9" ht="31" customHeight="1" s="82">
      <c r="A9" s="22" t="inlineStr">
        <is>
          <t>TAP-025</t>
        </is>
      </c>
      <c r="B9" s="22" t="inlineStr">
        <is>
          <t>TAP-024</t>
        </is>
      </c>
      <c r="C9" s="22" t="inlineStr">
        <is>
          <t>Obligatoria</t>
        </is>
      </c>
      <c r="D9" s="22" t="inlineStr">
        <is>
          <t>Cotizaciones realmente posteriores a respuesta</t>
        </is>
      </c>
    </row>
    <row r="10" ht="31" customHeight="1" s="82">
      <c r="A10" s="22" t="inlineStr">
        <is>
          <t>TAP-026</t>
        </is>
      </c>
      <c r="B10" s="22" t="inlineStr">
        <is>
          <t>TAP-025</t>
        </is>
      </c>
      <c r="C10" s="22" t="inlineStr">
        <is>
          <t>Obligatoria</t>
        </is>
      </c>
      <c r="D10" s="22" t="inlineStr">
        <is>
          <t>LLM real registrado, no mock</t>
        </is>
      </c>
    </row>
    <row r="11" ht="31" customHeight="1" s="82">
      <c r="A11" s="22" t="inlineStr">
        <is>
          <t>TAP-026</t>
        </is>
      </c>
      <c r="B11" s="22" t="inlineStr">
        <is>
          <t>TAP-048</t>
        </is>
      </c>
      <c r="C11" s="22" t="inlineStr">
        <is>
          <t>Calidad</t>
        </is>
      </c>
      <c r="D11" s="22" t="inlineStr">
        <is>
          <t>No declarar CERTIFIED con suite global roja</t>
        </is>
      </c>
    </row>
    <row r="12" ht="31" customHeight="1" s="82">
      <c r="A12" s="22" t="inlineStr">
        <is>
          <t>TAP-027</t>
        </is>
      </c>
      <c r="B12" s="22" t="inlineStr">
        <is>
          <t>TAP-028</t>
        </is>
      </c>
      <c r="C12" s="22" t="inlineStr">
        <is>
          <t>Obligatoria</t>
        </is>
      </c>
      <c r="D12" s="22" t="inlineStr">
        <is>
          <t>REA/Python lab antes de adoptar patrón crítico</t>
        </is>
      </c>
    </row>
    <row r="13" ht="31" customHeight="1" s="82">
      <c r="A13" s="22" t="inlineStr">
        <is>
          <t>TAP-029</t>
        </is>
      </c>
      <c r="B13" s="22" t="inlineStr">
        <is>
          <t>TAP-028</t>
        </is>
      </c>
      <c r="C13" s="22" t="inlineStr">
        <is>
          <t>Obligatoria</t>
        </is>
      </c>
      <c r="D13" s="22" t="inlineStr">
        <is>
          <t>Contrato se basa en comportamiento origen probado</t>
        </is>
      </c>
    </row>
    <row r="14" ht="31" customHeight="1" s="82">
      <c r="A14" s="22" t="inlineStr">
        <is>
          <t>TAP-030</t>
        </is>
      </c>
      <c r="B14" s="22" t="inlineStr">
        <is>
          <t>TAP-029</t>
        </is>
      </c>
      <c r="C14" s="22" t="inlineStr">
        <is>
          <t>Obligatoria</t>
        </is>
      </c>
      <c r="D14" s="22" t="inlineStr">
        <is>
          <t>Critic tipado antes de SHADOW</t>
        </is>
      </c>
    </row>
    <row r="15" ht="31" customHeight="1" s="82">
      <c r="A15" s="22" t="inlineStr">
        <is>
          <t>TAP-031</t>
        </is>
      </c>
      <c r="B15" s="22" t="inlineStr">
        <is>
          <t>TAP-030</t>
        </is>
      </c>
      <c r="C15" s="22" t="inlineStr">
        <is>
          <t>Obligatoria</t>
        </is>
      </c>
      <c r="D15" s="22" t="inlineStr">
        <is>
          <t>Primero shadow parity sin alterar órdenes</t>
        </is>
      </c>
    </row>
    <row r="16" ht="31" customHeight="1" s="82">
      <c r="A16" s="22" t="inlineStr">
        <is>
          <t>TAP-031</t>
        </is>
      </c>
      <c r="B16" s="22" t="inlineStr">
        <is>
          <t>TAP-026</t>
        </is>
      </c>
      <c r="C16" s="22" t="inlineStr">
        <is>
          <t>Obligatoria</t>
        </is>
      </c>
      <c r="D16" s="22" t="inlineStr">
        <is>
          <t>Ablation y provider real antes gated</t>
        </is>
      </c>
    </row>
    <row r="17" ht="31" customHeight="1" s="82">
      <c r="A17" s="22" t="inlineStr">
        <is>
          <t>TAP-035</t>
        </is>
      </c>
      <c r="B17" s="22" t="inlineStr">
        <is>
          <t>TAP-041</t>
        </is>
      </c>
      <c r="C17" s="22" t="inlineStr">
        <is>
          <t>Obligatoria</t>
        </is>
      </c>
      <c r="D17" s="22" t="inlineStr">
        <is>
          <t>Promoción estrategia solo con OOS neto y risk gates</t>
        </is>
      </c>
    </row>
    <row r="18" ht="31" customHeight="1" s="82">
      <c r="A18" s="22" t="inlineStr">
        <is>
          <t>TAP-042</t>
        </is>
      </c>
      <c r="B18" s="22" t="inlineStr">
        <is>
          <t>TAP-035</t>
        </is>
      </c>
      <c r="C18" s="22" t="inlineStr">
        <is>
          <t>Obligatoria</t>
        </is>
      </c>
      <c r="D18" s="22" t="inlineStr">
        <is>
          <t>Meta 3 fills diarios requiere estrategia admitida</t>
        </is>
      </c>
    </row>
    <row r="19" ht="31" customHeight="1" s="82">
      <c r="A19" s="22" t="inlineStr">
        <is>
          <t>TAP-042</t>
        </is>
      </c>
      <c r="B19" s="22" t="inlineStr">
        <is>
          <t>TAP-041</t>
        </is>
      </c>
      <c r="C19" s="22" t="inlineStr">
        <is>
          <t>Obligatoria</t>
        </is>
      </c>
      <c r="D19" s="22" t="inlineStr">
        <is>
          <t>Frecuencia no sustituye edge neto</t>
        </is>
      </c>
    </row>
    <row r="20" ht="31" customHeight="1" s="82">
      <c r="A20" s="22" t="inlineStr">
        <is>
          <t>TAP-049</t>
        </is>
      </c>
      <c r="B20" s="22" t="inlineStr">
        <is>
          <t>TAP-024</t>
        </is>
      </c>
      <c r="C20" s="22" t="inlineStr">
        <is>
          <t>Obligatoria</t>
        </is>
      </c>
      <c r="D20" s="22" t="inlineStr">
        <is>
          <t>Recibir datos observables y registrar latencia</t>
        </is>
      </c>
    </row>
    <row r="21" ht="31" customHeight="1" s="82">
      <c r="A21" s="22" t="inlineStr">
        <is>
          <t>TAP-054</t>
        </is>
      </c>
      <c r="B21" s="22" t="inlineStr">
        <is>
          <t>TAP-049</t>
        </is>
      </c>
      <c r="C21" s="22" t="inlineStr">
        <is>
          <t>Obligatoria</t>
        </is>
      </c>
      <c r="D21" s="22" t="inlineStr">
        <is>
          <t>Reporte diario requiere adquisición continua</t>
        </is>
      </c>
    </row>
    <row r="22" ht="31" customHeight="1" s="82">
      <c r="A22" s="22" t="inlineStr">
        <is>
          <t>TAP-058</t>
        </is>
      </c>
      <c r="B22" s="22" t="inlineStr">
        <is>
          <t>TAP-026</t>
        </is>
      </c>
      <c r="C22" s="22" t="inlineStr">
        <is>
          <t>Obligatoria</t>
        </is>
      </c>
      <c r="D22" s="22" t="inlineStr">
        <is>
          <t>No concluir IA rentable con mock</t>
        </is>
      </c>
    </row>
    <row r="23" ht="31" customHeight="1" s="82">
      <c r="A23" s="22" t="inlineStr">
        <is>
          <t>TAP-048</t>
        </is>
      </c>
      <c r="B23" s="22" t="inlineStr">
        <is>
          <t>TAP-005</t>
        </is>
      </c>
      <c r="C23" s="22" t="inlineStr">
        <is>
          <t>Calidad</t>
        </is>
      </c>
      <c r="D23" s="22" t="inlineStr">
        <is>
          <t>Necesita evidencia consistente antes de CI</t>
        </is>
      </c>
    </row>
    <row r="24" ht="31" customHeight="1" s="82">
      <c r="A24" s="22" t="inlineStr">
        <is>
          <t>TAP-057</t>
        </is>
      </c>
      <c r="B24" s="22" t="inlineStr">
        <is>
          <t>TAP-056</t>
        </is>
      </c>
      <c r="C24" s="22" t="inlineStr">
        <is>
          <t>Obligatoria</t>
        </is>
      </c>
      <c r="D24" s="22" t="inlineStr">
        <is>
          <t>Publicación GitHub del workbook creado</t>
        </is>
      </c>
    </row>
    <row r="25" ht="31" customHeight="1" s="82">
      <c r="A25" s="22" t="inlineStr">
        <is>
          <t>TAP-041</t>
        </is>
      </c>
      <c r="B25" s="22" t="inlineStr">
        <is>
          <t>TAP-036</t>
        </is>
      </c>
      <c r="C25" s="22" t="inlineStr">
        <is>
          <t>Obligatoria</t>
        </is>
      </c>
      <c r="D25" s="22" t="inlineStr">
        <is>
          <t>Baseline pérdidas exige nuevos experimentos</t>
        </is>
      </c>
    </row>
    <row r="26">
      <c r="A26" t="inlineStr">
        <is>
          <t>TAP-066</t>
        </is>
      </c>
      <c r="B26" t="inlineStr">
        <is>
          <t>TAP-065</t>
        </is>
      </c>
      <c r="C26" t="inlineStr">
        <is>
          <t>Obligatoria</t>
        </is>
      </c>
      <c r="D26" t="inlineStr">
        <is>
          <t>No optimizar sin baseline request/data equivalence</t>
        </is>
      </c>
    </row>
    <row r="27">
      <c r="A27" t="inlineStr">
        <is>
          <t>TAP-067</t>
        </is>
      </c>
      <c r="B27" t="inlineStr">
        <is>
          <t>TAP-066</t>
        </is>
      </c>
      <c r="C27" t="inlineStr">
        <is>
          <t>Obligatoria</t>
        </is>
      </c>
      <c r="D27" t="inlineStr">
        <is>
          <t>Snapshots PIT requieren deltas válidos y cobertura</t>
        </is>
      </c>
    </row>
    <row r="28">
      <c r="A28" t="inlineStr">
        <is>
          <t>TAP-068</t>
        </is>
      </c>
      <c r="B28" t="inlineStr">
        <is>
          <t>TAP-067</t>
        </is>
      </c>
      <c r="C28" t="inlineStr">
        <is>
          <t>Obligatoria</t>
        </is>
      </c>
      <c r="D28" t="inlineStr">
        <is>
          <t>IA event-driven solo consume snapshots causales</t>
        </is>
      </c>
    </row>
    <row r="29">
      <c r="A29" t="inlineStr">
        <is>
          <t>TAP-070</t>
        </is>
      </c>
      <c r="B29" t="inlineStr">
        <is>
          <t>TAP-068</t>
        </is>
      </c>
      <c r="C29" t="inlineStr">
        <is>
          <t>Obligatoria</t>
        </is>
      </c>
      <c r="D29" t="inlineStr">
        <is>
          <t>Verificar triggers, esquema y proveedor offline</t>
        </is>
      </c>
    </row>
    <row r="30">
      <c r="A30" t="inlineStr">
        <is>
          <t>TAP-071</t>
        </is>
      </c>
      <c r="B30" t="inlineStr">
        <is>
          <t>TAP-070</t>
        </is>
      </c>
      <c r="C30" t="inlineStr">
        <is>
          <t>Operativa con aprobación</t>
        </is>
      </c>
      <c r="D30" t="inlineStr">
        <is>
          <t>Modificar tarea real solo tras verificación y consentimiento</t>
        </is>
      </c>
    </row>
  </sheetData>
  <mergeCells count="2">
    <mergeCell ref="A1:D2"/>
    <mergeCell ref="A3:D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4" ySplit="5" topLeftCell="E6" activePane="bottomRight" state="frozen"/>
      <selection activeCell="A1" sqref="A1"/>
    </sheetView>
  </sheetViews>
  <sheetFormatPr baseColWidth="8" defaultRowHeight="15"/>
  <cols>
    <col width="12" customWidth="1" style="82" min="1" max="1"/>
    <col width="17" customWidth="1" style="82" min="2" max="2"/>
    <col width="24" customWidth="1" style="82" min="3" max="3"/>
    <col width="25" customWidth="1" style="82" min="4" max="4"/>
    <col width="46" customWidth="1" style="82" min="5" max="5"/>
    <col width="17" customWidth="1" style="82" min="6" max="6"/>
    <col width="13" customWidth="1" style="82" min="7" max="7"/>
    <col width="17" customWidth="1" style="82" min="8" max="8"/>
    <col width="14" customWidth="1" style="82" min="9" max="9"/>
    <col width="90" customWidth="1" style="82" min="10" max="10"/>
    <col width="75" customWidth="1" style="82" min="11" max="11"/>
  </cols>
  <sheetData>
    <row r="1" ht="26" customHeight="1" s="82">
      <c r="A1" s="7" t="inlineStr">
        <is>
          <t>EVIDENCIAS Y RESULTADOS ECONÓMICOS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24" customHeight="1" s="82">
      <c r="A3" s="13" t="inlineStr">
        <is>
          <t>No sumar PnL de escenarios distintos; MOCK ≠ IA real; indicamos failures y no prospectivo.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9" customHeight="1" s="82"/>
    <row r="5" ht="34" customHeight="1" s="82">
      <c r="A5" s="16" t="inlineStr">
        <is>
          <t>ID</t>
        </is>
      </c>
      <c r="B5" s="16" t="inlineStr">
        <is>
          <t>Fecha</t>
        </is>
      </c>
      <c r="C5" s="16" t="inlineStr">
        <is>
          <t>WP</t>
        </is>
      </c>
      <c r="D5" s="16" t="inlineStr">
        <is>
          <t>Clase</t>
        </is>
      </c>
      <c r="E5" s="16" t="inlineStr">
        <is>
          <t>Nombre / dataset</t>
        </is>
      </c>
      <c r="F5" s="16" t="inlineStr">
        <is>
          <t>Commit</t>
        </is>
      </c>
      <c r="G5" s="16" t="inlineStr">
        <is>
          <t>Nº</t>
        </is>
      </c>
      <c r="H5" s="16" t="inlineStr">
        <is>
          <t>Resultado 2</t>
        </is>
      </c>
      <c r="I5" s="16" t="inlineStr">
        <is>
          <t>Unidad</t>
        </is>
      </c>
      <c r="J5" s="16" t="inlineStr">
        <is>
          <t>Lectura rigurosa</t>
        </is>
      </c>
      <c r="K5" s="16" t="inlineStr">
        <is>
          <t>URL fuente</t>
        </is>
      </c>
    </row>
    <row r="6" ht="31" customHeight="1" s="82">
      <c r="A6" s="22" t="inlineStr">
        <is>
          <t>EV-001</t>
        </is>
      </c>
      <c r="B6" s="22" t="inlineStr">
        <is>
          <t>2026-10-17</t>
        </is>
      </c>
      <c r="C6" s="22" t="inlineStr">
        <is>
          <t>EDGE-017F</t>
        </is>
      </c>
      <c r="D6" s="22" t="inlineStr">
        <is>
          <t>REPLAY_DETERMINISTA</t>
        </is>
      </c>
      <c r="E6" s="22" t="inlineStr">
        <is>
          <t>NET_RISK_REPLAY</t>
        </is>
      </c>
      <c r="F6" s="22" t="inlineStr">
        <is>
          <t>b17644a</t>
        </is>
      </c>
      <c r="G6" s="84" t="n">
        <v>146</v>
      </c>
      <c r="H6" s="84" t="n">
        <v>-238.770489</v>
      </c>
      <c r="I6" s="22" t="inlineStr">
        <is>
          <t>USDT</t>
        </is>
      </c>
      <c r="J6" s="22" t="inlineStr">
        <is>
          <t>1x, 2.387705% drawdown; no edge</t>
        </is>
      </c>
      <c r="K6" s="22" t="inlineStr">
        <is>
          <t>https://github.com/Extr3sao/bot_crypto/blob/agent/edge-recovery/WP-EDGE-00-baseline/reports/economic-recovery/RFC-EDGE-017/NET_RISK_REPLAY.json</t>
        </is>
      </c>
    </row>
    <row r="7" ht="31" customHeight="1" s="82">
      <c r="A7" s="22" t="inlineStr">
        <is>
          <t>EV-002</t>
        </is>
      </c>
      <c r="B7" s="22" t="inlineStr">
        <is>
          <t>2026-10-17</t>
        </is>
      </c>
      <c r="C7" s="22" t="inlineStr">
        <is>
          <t>EDGE-017F</t>
        </is>
      </c>
      <c r="D7" s="22" t="inlineStr">
        <is>
          <t>REPLAY_DETERMINISTA</t>
        </is>
      </c>
      <c r="E7" s="22" t="inlineStr">
        <is>
          <t>NET_RISK_REPLAY</t>
        </is>
      </c>
      <c r="F7" s="22" t="inlineStr">
        <is>
          <t>b17644a</t>
        </is>
      </c>
      <c r="G7" s="84" t="n">
        <v>146</v>
      </c>
      <c r="H7" s="84" t="n">
        <v>-425.692312</v>
      </c>
      <c r="I7" s="22" t="inlineStr">
        <is>
          <t>USDT</t>
        </is>
      </c>
      <c r="J7" s="22" t="inlineStr">
        <is>
          <t>2x, drawdown 4.256923%</t>
        </is>
      </c>
      <c r="K7" s="22" t="inlineStr">
        <is>
          <t>https://github.com/Extr3sao/bot_crypto/blob/agent/edge-recovery/WP-EDGE-00-baseline/reports/economic-recovery/RFC-EDGE-017/NET_RISK_REPLAY.json</t>
        </is>
      </c>
    </row>
    <row r="8" ht="31" customHeight="1" s="82">
      <c r="A8" s="22" t="inlineStr">
        <is>
          <t>EV-003</t>
        </is>
      </c>
      <c r="B8" s="22" t="inlineStr">
        <is>
          <t>2026-10-17</t>
        </is>
      </c>
      <c r="C8" s="22" t="inlineStr">
        <is>
          <t>EDGE-017F</t>
        </is>
      </c>
      <c r="D8" s="22" t="inlineStr">
        <is>
          <t>REPLAY_DETERMINISTA</t>
        </is>
      </c>
      <c r="E8" s="22" t="inlineStr">
        <is>
          <t>NET_RISK_REPLAY</t>
        </is>
      </c>
      <c r="F8" s="22" t="inlineStr">
        <is>
          <t>b17644a</t>
        </is>
      </c>
      <c r="G8" s="84" t="n">
        <v>121</v>
      </c>
      <c r="H8" s="84" t="n">
        <v>-500.571772</v>
      </c>
      <c r="I8" s="22" t="inlineStr">
        <is>
          <t>USDT</t>
        </is>
      </c>
      <c r="J8" s="22" t="inlineStr">
        <is>
          <t>3x, drawdown 5.005718%</t>
        </is>
      </c>
      <c r="K8" s="22" t="inlineStr">
        <is>
          <t>https://github.com/Extr3sao/bot_crypto/blob/agent/edge-recovery/WP-EDGE-00-baseline/reports/economic-recovery/RFC-EDGE-017/NET_RISK_REPLAY.json</t>
        </is>
      </c>
    </row>
    <row r="9" ht="31" customHeight="1" s="82">
      <c r="A9" s="22" t="inlineStr">
        <is>
          <t>EV-004</t>
        </is>
      </c>
      <c r="B9" s="22" t="inlineStr">
        <is>
          <t>2026-10-17</t>
        </is>
      </c>
      <c r="C9" s="22" t="inlineStr">
        <is>
          <t>EDGE-017F</t>
        </is>
      </c>
      <c r="D9" s="22" t="inlineStr">
        <is>
          <t>TESTS</t>
        </is>
      </c>
      <c r="E9" s="22" t="inlineStr">
        <is>
          <t>Full pytest tests/unit</t>
        </is>
      </c>
      <c r="F9" s="22" t="inlineStr">
        <is>
          <t>64da0cd</t>
        </is>
      </c>
      <c r="G9" s="84" t="n">
        <v>4070</v>
      </c>
      <c r="H9" s="84" t="n">
        <v>14</v>
      </c>
      <c r="I9" s="22" t="inlineStr">
        <is>
          <t>tests</t>
        </is>
      </c>
      <c r="J9" s="22" t="inlineStr">
        <is>
          <t>4070 passed + 14 failed, exit 1: NO PASS global</t>
        </is>
      </c>
      <c r="K9" s="22" t="inlineStr">
        <is>
          <t>https://github.com/Extr3sao/bot_crypto/blob/agent/edge-recovery/WP-EDGE-00-baseline/reports/economic-recovery/RFC-EDGE-017/FINAL_REPORT.md</t>
        </is>
      </c>
    </row>
    <row r="10" ht="31" customHeight="1" s="82">
      <c r="A10" s="22" t="inlineStr">
        <is>
          <t>EV-005</t>
        </is>
      </c>
      <c r="B10" s="22" t="inlineStr">
        <is>
          <t>2026-10-17</t>
        </is>
      </c>
      <c r="C10" s="22" t="inlineStr">
        <is>
          <t>EDGE-017F</t>
        </is>
      </c>
      <c r="D10" s="22" t="inlineStr">
        <is>
          <t>CAPTURA_PROSPECTIVA_MANUAL</t>
        </is>
      </c>
      <c r="E10" s="22" t="inlineStr">
        <is>
          <t>OHLCV BTC/ETH/SOL</t>
        </is>
      </c>
      <c r="F10" s="22" t="inlineStr">
        <is>
          <t>b17644a</t>
        </is>
      </c>
      <c r="G10" s="84" t="n">
        <v>24</v>
      </c>
      <c r="H10" s="84" t="n">
        <v>6</v>
      </c>
      <c r="I10" s="22" t="inlineStr">
        <is>
          <t>bars</t>
        </is>
      </c>
      <c r="J10" s="22" t="inlineStr">
        <is>
          <t>24 observadas, 6 al cierre y 18 recuperadas; 0 trades</t>
        </is>
      </c>
      <c r="K10" s="22" t="inlineStr">
        <is>
          <t>https://github.com/Extr3sao/bot_crypto/blob/agent/edge-recovery/WP-EDGE-00-baseline/reports/economic-recovery/RFC-EDGE-017/FINAL_REPORT.md</t>
        </is>
      </c>
    </row>
    <row r="11" ht="31" customHeight="1" s="82">
      <c r="A11" s="22" t="inlineStr">
        <is>
          <t>EV-006</t>
        </is>
      </c>
      <c r="B11" s="22" t="inlineStr">
        <is>
          <t>2026-10-18</t>
        </is>
      </c>
      <c r="C11" s="22" t="inlineStr">
        <is>
          <t>EVIDENCE-004F</t>
        </is>
      </c>
      <c r="D11" s="22" t="inlineStr">
        <is>
          <t>VERIFY_FOCAL</t>
        </is>
      </c>
      <c r="E11" s="22" t="inlineStr">
        <is>
          <t>Evidence canonical</t>
        </is>
      </c>
      <c r="F11" s="22" t="inlineStr">
        <is>
          <t>b7e100a</t>
        </is>
      </c>
      <c r="G11" s="84" t="n">
        <v>42</v>
      </c>
      <c r="H11" s="84" t="n">
        <v>18</v>
      </c>
      <c r="I11" s="22" t="inlineStr">
        <is>
          <t>checks/mutations</t>
        </is>
      </c>
      <c r="J11" s="22" t="inlineStr">
        <is>
          <t>42/42 checks y 18/18 mutaciones, no global</t>
        </is>
      </c>
      <c r="K11" s="22" t="inlineStr">
        <is>
          <t>https://github.com/Extr3sao/bot_crypto/blob/agent/evidence/RFC-TAP-EVIDENCE-004/reports/ai-bots/RFC-AI-BOTS-002/evidence-004/VERIFICATION.json</t>
        </is>
      </c>
    </row>
    <row r="12" ht="31" customHeight="1" s="82">
      <c r="A12" s="22" t="inlineStr">
        <is>
          <t>EV-007</t>
        </is>
      </c>
      <c r="B12" s="22" t="inlineStr">
        <is>
          <t>2026-10-18</t>
        </is>
      </c>
      <c r="C12" s="22" t="inlineStr">
        <is>
          <t>REA-002</t>
        </is>
      </c>
      <c r="D12" s="22" t="inlineStr">
        <is>
          <t>REA_STRUCTURAL</t>
        </is>
      </c>
      <c r="E12" s="22" t="inlineStr">
        <is>
          <t>Repositorio nof1 / Fenix / Semantic</t>
        </is>
      </c>
      <c r="F12" s="22" t="inlineStr">
        <is>
          <t>c4e6e3b</t>
        </is>
      </c>
      <c r="G12" s="84" t="n">
        <v>7</v>
      </c>
      <c r="H12" s="84" t="n">
        <v>2</v>
      </c>
      <c r="I12" s="22" t="inlineStr">
        <is>
          <t>ops</t>
        </is>
      </c>
      <c r="J12" s="22" t="inlineStr">
        <is>
          <t>7 con evidence_id, 2 no ejecutadas; 2/7 ficheros hash verificados</t>
        </is>
      </c>
      <c r="K12" s="22" t="inlineStr">
        <is>
          <t>https://github.com/Extr3sao/bot_crypto/tree/agent/ai-vision/RFC-AI-VISION-001/reports/ai-bots/RFC-AI-BOTS-002/rea</t>
        </is>
      </c>
    </row>
    <row r="13" ht="31" customHeight="1" s="82">
      <c r="A13" s="22" t="inlineStr">
        <is>
          <t>EV-008</t>
        </is>
      </c>
      <c r="B13" s="22" t="inlineStr">
        <is>
          <t>2026-10-18</t>
        </is>
      </c>
      <c r="C13" s="22" t="inlineStr">
        <is>
          <t>AI-BOTS-003B</t>
        </is>
      </c>
      <c r="D13" s="22" t="inlineStr">
        <is>
          <t>REPLAY_MOCK</t>
        </is>
      </c>
      <c r="E13" s="22" t="inlineStr">
        <is>
          <t>VIS / CTX</t>
        </is>
      </c>
      <c r="F13" s="22" t="inlineStr">
        <is>
          <t>ffbc0ca</t>
        </is>
      </c>
      <c r="G13" s="84" t="n">
        <v>14</v>
      </c>
      <c r="H13" s="84" t="n">
        <v>-15.680073</v>
      </c>
      <c r="I13" s="22" t="inlineStr">
        <is>
          <t>USDT</t>
        </is>
      </c>
      <c r="J13" s="22" t="inlineStr">
        <is>
          <t>Por bot; 40 mock LLM calls; economía idéntica por script</t>
        </is>
      </c>
      <c r="K13" s="22" t="inlineStr">
        <is>
          <t>https://github.com/Extr3sao/bot_crypto/blob/agent/ai-bots/RFC-TAP-AI-BOTS-003/reports/ai-bots/RFC-AI-BOTS-003/BLOCK-B/RUN_REPORT.json</t>
        </is>
      </c>
    </row>
    <row r="14" ht="31" customHeight="1" s="82">
      <c r="A14" s="22" t="inlineStr">
        <is>
          <t>EV-009</t>
        </is>
      </c>
      <c r="B14" s="22" t="inlineStr">
        <is>
          <t>2026-10-18</t>
        </is>
      </c>
      <c r="C14" s="22" t="inlineStr">
        <is>
          <t>AI-BOTS-003C</t>
        </is>
      </c>
      <c r="D14" s="22" t="inlineStr">
        <is>
          <t>REPLAY_MOCK</t>
        </is>
      </c>
      <c r="E14" s="22" t="inlineStr">
        <is>
          <t>Real_0ms (datos Binance 1h replay)</t>
        </is>
      </c>
      <c r="F14" s="22" t="inlineStr">
        <is>
          <t>86d4f12</t>
        </is>
      </c>
      <c r="G14" s="84" t="n">
        <v>34</v>
      </c>
      <c r="H14" s="84" t="n">
        <v>-85.42676400000001</v>
      </c>
      <c r="I14" s="22" t="inlineStr">
        <is>
          <t>USDT</t>
        </is>
      </c>
      <c r="J14" s="22" t="inlineStr">
        <is>
          <t>34 trades paper offline; no modelo real</t>
        </is>
      </c>
      <c r="K14" s="22" t="inlineStr">
        <is>
          <t>https://github.com/Extr3sao/bot_crypto/blob/agent/ai-bots/RFC-TAP-AI-BOTS-003/reports/ai-bots/RFC-AI-BOTS-003/BLOCK-C/WP_RUN_REPORT.json</t>
        </is>
      </c>
    </row>
    <row r="15" ht="31" customHeight="1" s="82">
      <c r="A15" s="22" t="inlineStr">
        <is>
          <t>EV-010</t>
        </is>
      </c>
      <c r="B15" s="22" t="inlineStr">
        <is>
          <t>2026-10-18</t>
        </is>
      </c>
      <c r="C15" s="22" t="inlineStr">
        <is>
          <t>AI-BOTS-003C</t>
        </is>
      </c>
      <c r="D15" s="22" t="inlineStr">
        <is>
          <t>REPLAY_MOCK</t>
        </is>
      </c>
      <c r="E15" s="22" t="inlineStr">
        <is>
          <t>Real_900ms (datos Binance 1h replay)</t>
        </is>
      </c>
      <c r="F15" s="22" t="inlineStr">
        <is>
          <t>86d4f12</t>
        </is>
      </c>
      <c r="G15" s="84" t="n">
        <v>34</v>
      </c>
      <c r="H15" s="84" t="n">
        <v>-97.926767</v>
      </c>
      <c r="I15" s="22" t="inlineStr">
        <is>
          <t>USDT</t>
        </is>
      </c>
      <c r="J15" s="22" t="inlineStr">
        <is>
          <t>900ms declarados, no medidos de red</t>
        </is>
      </c>
      <c r="K15" s="22" t="inlineStr">
        <is>
          <t>https://github.com/Extr3sao/bot_crypto/blob/agent/ai-bots/RFC-TAP-AI-BOTS-003/reports/ai-bots/RFC-AI-BOTS-003/BLOCK-C/WP_RUN_REPORT.json</t>
        </is>
      </c>
    </row>
    <row r="16" ht="31" customHeight="1" s="82">
      <c r="A16" s="22" t="inlineStr">
        <is>
          <t>EV-011</t>
        </is>
      </c>
      <c r="B16" s="22" t="inlineStr">
        <is>
          <t>2026-10-18</t>
        </is>
      </c>
      <c r="C16" s="22" t="inlineStr">
        <is>
          <t>AI-BOTS-003C</t>
        </is>
      </c>
      <c r="D16" s="22" t="inlineStr">
        <is>
          <t>REPLAY_MOCK</t>
        </is>
      </c>
      <c r="E16" s="22" t="inlineStr">
        <is>
          <t>Real_900ms+hole</t>
        </is>
      </c>
      <c r="F16" s="22" t="inlineStr">
        <is>
          <t>86d4f12</t>
        </is>
      </c>
      <c r="G16" s="84" t="n">
        <v>34</v>
      </c>
      <c r="H16" s="84" t="n">
        <v>-85.44923799999999</v>
      </c>
      <c r="I16" s="22" t="inlineStr">
        <is>
          <t>USDT</t>
        </is>
      </c>
      <c r="J16" s="22" t="inlineStr">
        <is>
          <t>2 huecos DATA_GAP; no comparación directa</t>
        </is>
      </c>
      <c r="K16" s="22" t="inlineStr">
        <is>
          <t>https://github.com/Extr3sao/bot_crypto/blob/agent/ai-bots/RFC-TAP-AI-BOTS-003/reports/ai-bots/RFC-AI-BOTS-003/BLOCK-C/WP_RUN_REPORT.json</t>
        </is>
      </c>
    </row>
    <row r="17" ht="31" customHeight="1" s="82">
      <c r="A17" s="22" t="inlineStr">
        <is>
          <t>EV-012</t>
        </is>
      </c>
      <c r="B17" s="22" t="inlineStr">
        <is>
          <t>2026-10-18</t>
        </is>
      </c>
      <c r="C17" s="22" t="inlineStr">
        <is>
          <t>AI-BOTS-003C</t>
        </is>
      </c>
      <c r="D17" s="22" t="inlineStr">
        <is>
          <t>REPLAY_MOCK</t>
        </is>
      </c>
      <c r="E17" s="22" t="inlineStr">
        <is>
          <t>Real_900ms wide_stop</t>
        </is>
      </c>
      <c r="F17" s="22" t="inlineStr">
        <is>
          <t>86d4f12</t>
        </is>
      </c>
      <c r="G17" s="84" t="n">
        <v>34</v>
      </c>
      <c r="H17" s="84" t="n">
        <v>-34.247921</v>
      </c>
      <c r="I17" s="22" t="inlineStr">
        <is>
          <t>USDT</t>
        </is>
      </c>
      <c r="J17" s="22" t="inlineStr">
        <is>
          <t>Override policy SOLO escenario offline; sin cambiar config</t>
        </is>
      </c>
      <c r="K17" s="22" t="inlineStr">
        <is>
          <t>https://github.com/Extr3sao/bot_crypto/blob/agent/ai-bots/RFC-TAP-AI-BOTS-003/reports/ai-bots/RFC-AI-BOTS-003/BLOCK-C/WP_RUN_REPORT.json</t>
        </is>
      </c>
    </row>
    <row r="18" ht="31" customHeight="1" s="82">
      <c r="A18" s="22" t="inlineStr">
        <is>
          <t>EV-013</t>
        </is>
      </c>
      <c r="B18" s="22" t="inlineStr">
        <is>
          <t>2026-10-18</t>
        </is>
      </c>
      <c r="C18" s="22" t="inlineStr">
        <is>
          <t>AI-BOTS-003C</t>
        </is>
      </c>
      <c r="D18" s="22" t="inlineStr">
        <is>
          <t>REPLAY_SINTETICO</t>
        </is>
      </c>
      <c r="E18" s="22" t="inlineStr">
        <is>
          <t>Gap open con veto por daily loss</t>
        </is>
      </c>
      <c r="F18" s="22" t="inlineStr">
        <is>
          <t>86d4f12</t>
        </is>
      </c>
      <c r="G18" s="84" t="n">
        <v>1</v>
      </c>
      <c r="H18" s="84" t="n">
        <v>-16.232058</v>
      </c>
      <c r="I18" s="22" t="inlineStr">
        <is>
          <t>USDT</t>
        </is>
      </c>
      <c r="J18" s="22" t="inlineStr">
        <is>
          <t>Gaps sintéticos, 1 salida por stop, NO mercado observado</t>
        </is>
      </c>
      <c r="K18" s="22" t="inlineStr">
        <is>
          <t>https://github.com/Extr3sao/bot_crypto/blob/agent/ai-bots/RFC-TAP-AI-BOTS-003/reports/ai-bots/RFC-AI-BOTS-003/BLOCK-C/FINAL_REPORT.md</t>
        </is>
      </c>
    </row>
    <row r="19" ht="31" customHeight="1" s="82">
      <c r="A19" s="22" t="inlineStr">
        <is>
          <t>EV-014</t>
        </is>
      </c>
      <c r="B19" s="22" t="inlineStr">
        <is>
          <t>2026-10-18</t>
        </is>
      </c>
      <c r="C19" s="22" t="inlineStr">
        <is>
          <t>AI-BOTS-003C</t>
        </is>
      </c>
      <c r="D19" s="22" t="inlineStr">
        <is>
          <t>VERIFY_FOCAL</t>
        </is>
      </c>
      <c r="E19" s="22" t="inlineStr">
        <is>
          <t>Suites visión/paper/risk/intelligence/reports</t>
        </is>
      </c>
      <c r="F19" s="22" t="inlineStr">
        <is>
          <t>86d4f12</t>
        </is>
      </c>
      <c r="G19" s="84" t="n">
        <v>459</v>
      </c>
      <c r="H19" s="84" t="n">
        <v>0</v>
      </c>
      <c r="I19" s="22" t="inlineStr">
        <is>
          <t>tests failed</t>
        </is>
      </c>
      <c r="J19" s="22" t="inlineStr">
        <is>
          <t>459 pass según report; 120/120 checks y 53/53 mutaciones aplicadas</t>
        </is>
      </c>
      <c r="K19" s="22" t="inlineStr">
        <is>
          <t>https://github.com/Extr3sao/bot_crypto/blob/agent/ai-bots/RFC-TAP-AI-BOTS-003/reports/ai-bots/RFC-AI-BOTS-003/BLOCK-C/FINAL_REPORT.md</t>
        </is>
      </c>
    </row>
    <row r="20" ht="31" customHeight="1" s="82">
      <c r="A20" s="22" t="inlineStr">
        <is>
          <t>EV-015</t>
        </is>
      </c>
      <c r="B20" s="22" t="inlineStr">
        <is>
          <t>2026-10-18</t>
        </is>
      </c>
      <c r="C20" s="22" t="inlineStr">
        <is>
          <t>AI-BOTS-004</t>
        </is>
      </c>
      <c r="D20" s="22" t="inlineStr">
        <is>
          <t>DISEÑO_ONLY</t>
        </is>
      </c>
      <c r="E20" s="22" t="inlineStr">
        <is>
          <t>TradingAgents upstream commit e8f5503</t>
        </is>
      </c>
      <c r="F20" s="22" t="inlineStr">
        <is>
          <t>e8f5503</t>
        </is>
      </c>
      <c r="G20" s="84" t="n">
        <v>0</v>
      </c>
      <c r="H20" s="84" t="n">
        <v>0</v>
      </c>
      <c r="I20" s="22" t="inlineStr">
        <is>
          <t>ops REA</t>
        </is>
      </c>
      <c r="J20" s="22" t="inlineStr">
        <is>
          <t>Fuente Apache-2.0 revisada; REA en upstream no ejecutado</t>
        </is>
      </c>
      <c r="K20" s="22" t="inlineStr">
        <is>
          <t>https://github.com/Extr3sao/bot_crypto/issues/14</t>
        </is>
      </c>
    </row>
    <row r="21">
      <c r="A21" t="inlineStr">
        <is>
          <t>EV-016</t>
        </is>
      </c>
      <c r="B21" t="inlineStr">
        <is>
          <t>2026-10-18</t>
        </is>
      </c>
      <c r="C21" t="inlineStr">
        <is>
          <t>AI-BOTS-003C</t>
        </is>
      </c>
      <c r="D21" t="inlineStr">
        <is>
          <t>SOURCE_RUNTIME_PIN</t>
        </is>
      </c>
      <c r="E21" t="inlineStr">
        <is>
          <t>series_sha256 + --bars=1000 regeneración</t>
        </is>
      </c>
      <c r="F21" t="inlineStr">
        <is>
          <t>0841d37</t>
        </is>
      </c>
      <c r="G21" t="n">
        <v>5</v>
      </c>
      <c r="H21" t="n">
        <v>120</v>
      </c>
      <c r="I21" t="inlineStr">
        <is>
          <t>checks</t>
        </is>
      </c>
      <c r="J21" t="inlineStr">
        <is>
          <t>5 capturas con series_sha256; 24 comprobaciones por escenario, 53 mutaciones detectadas (12 no aplicadas); sin IA real.</t>
        </is>
      </c>
      <c r="K21" t="inlineStr">
        <is>
          <t>https://github.com/Extr3sao/bot_crypto/blob/agent/ai-bots/RFC-TAP-AI-BOTS-003/reports/ai-bots/RFC-AI-BOTS-003/BLOCK-C/FINAL_REPORT.md</t>
        </is>
      </c>
    </row>
    <row r="22">
      <c r="A22" t="inlineStr">
        <is>
          <t>EV-017</t>
        </is>
      </c>
      <c r="B22" t="inlineStr">
        <is>
          <t>2026-10-18</t>
        </is>
      </c>
      <c r="C22" t="inlineStr">
        <is>
          <t>WP-OPS-BACKGROUND-001</t>
        </is>
      </c>
      <c r="D22" t="inlineStr">
        <is>
          <t>WINDOWS_RUNTIME_FOCAL</t>
        </is>
      </c>
      <c r="E22" t="inlineStr">
        <is>
          <t>PE origin, pruebas Windows y captura offline vía windowless</t>
        </is>
      </c>
      <c r="F22" t="inlineStr">
        <is>
          <t>fe9b5e2</t>
        </is>
      </c>
      <c r="G22" t="n">
        <v>335</v>
      </c>
      <c r="H22" t="n">
        <v>0</v>
      </c>
      <c r="I22" t="inlineStr">
        <is>
          <t>tests failed</t>
        </is>
      </c>
      <c r="J22" t="inlineStr">
        <is>
          <t>13 ops nuevos; 0 HIGH/324 MEDIUM; 9→2 adjuntos consola; visual NOT_OBSERVABLE; scheduler no registrado</t>
        </is>
      </c>
      <c r="K22" t="inlineStr">
        <is>
          <t>https://github.com/Extr3sao/bot_crypto/blob/agent/ai-bots/RFC-TAP-AI-BOTS-003/reports/ops/WP-OPS-BACKGROUND-001/RUN_REPORT.json</t>
        </is>
      </c>
    </row>
    <row r="23">
      <c r="A23" t="inlineStr">
        <is>
          <t>EV-018</t>
        </is>
      </c>
      <c r="B23" t="inlineStr">
        <is>
          <t>2026-10-18</t>
        </is>
      </c>
      <c r="C23" t="inlineStr">
        <is>
          <t>RFC-TAP-MARKET-005</t>
        </is>
      </c>
      <c r="D23" t="inlineStr">
        <is>
          <t>SOURCE_CORRELATION_ONLY</t>
        </is>
      </c>
      <c r="E23" t="inlineStr">
        <is>
          <t>Screenshot CCXT fetch_ohlcv + patrón 1000/500/500</t>
        </is>
      </c>
      <c r="F23" t="inlineStr">
        <is>
          <t>fe9b5e2</t>
        </is>
      </c>
      <c r="G23" t="n">
        <v>0</v>
      </c>
      <c r="H23" t="n">
        <v>0</v>
      </c>
      <c r="I23" t="inlineStr">
        <is>
          <t>WPs executed</t>
        </is>
      </c>
      <c r="J23" t="inlineStr">
        <is>
          <t>Análisis código CCXT y real_market_context; caller PID/task UNKNOWN; no nueva descarga ejecutada por RFC-005</t>
        </is>
      </c>
      <c r="K23" t="inlineStr">
        <is>
          <t>https://github.com/Extr3sao/bot_crypto/issues/16</t>
        </is>
      </c>
    </row>
    <row r="24">
      <c r="A24" t="inlineStr">
        <is>
          <t>EV-019</t>
        </is>
      </c>
      <c r="B24" t="inlineStr">
        <is>
          <t>2026-10-18</t>
        </is>
      </c>
      <c r="C24" t="inlineStr">
        <is>
          <t>RFC-TAP-MARKET-005</t>
        </is>
      </c>
      <c r="D24" t="inlineStr">
        <is>
          <t>MEDICION_REPLAY</t>
        </is>
      </c>
      <c r="E24" t="inlineStr">
        <is>
          <t>CURRENT_VS_PROPOSED 96 ciclos / 4 activos / 3 timeframes</t>
        </is>
      </c>
      <c r="F24" t="inlineStr">
        <is>
          <t>c6bb431</t>
        </is>
      </c>
      <c r="G24" t="n">
        <v>1164</v>
      </c>
      <c r="H24" t="n">
        <v>136</v>
      </c>
      <c r="I24" t="inlineStr">
        <is>
          <t>requests</t>
        </is>
      </c>
      <c r="J24" t="inlineStr">
        <is>
          <t>-88,32% peticiones; 770312-&gt;8496 velas (-98,90%); 12/12 ventanas cerradas idénticas</t>
        </is>
      </c>
      <c r="K24" t="inlineStr">
        <is>
          <t>https://github.com/Extr3sao/bot_crypto/tree/agent/market/RFC-TAP-MARKET-005/reports/market-data/RFC-TAP-MARKET-005/CURRENT_VS_PROPOSED.json</t>
        </is>
      </c>
    </row>
    <row r="25">
      <c r="A25" t="inlineStr">
        <is>
          <t>EV-020</t>
        </is>
      </c>
      <c r="B25" t="inlineStr">
        <is>
          <t>2026-10-18</t>
        </is>
      </c>
      <c r="C25" t="inlineStr">
        <is>
          <t>RFC-TAP-MARKET-005</t>
        </is>
      </c>
      <c r="D25" t="inlineStr">
        <is>
          <t>VERIFY_FOCAL</t>
        </is>
      </c>
      <c r="E25" t="inlineStr">
        <is>
          <t>Verificador independiente + mutaciones</t>
        </is>
      </c>
      <c r="F25" t="inlineStr">
        <is>
          <t>c6bb431</t>
        </is>
      </c>
      <c r="G25" t="n">
        <v>8</v>
      </c>
      <c r="H25" t="n">
        <v>0</v>
      </c>
      <c r="I25" t="inlineStr">
        <is>
          <t>checks/mutations</t>
        </is>
      </c>
      <c r="J25" t="inlineStr">
        <is>
          <t>8/8 checks y 5/5 mutaciones; no importa trading_bot; suite completa NOT_RUN</t>
        </is>
      </c>
      <c r="K25" t="inlineStr">
        <is>
          <t>https://github.com/Extr3sao/bot_crypto/tree/agent/market/RFC-TAP-MARKET-005/reports/market-data/RFC-TAP-MARKET-005/INDEPENDENT_VERIFICATION.json</t>
        </is>
      </c>
    </row>
  </sheetData>
  <mergeCells count="2">
    <mergeCell ref="A1:K2"/>
    <mergeCell ref="A3:K3"/>
  </mergeCells>
  <conditionalFormatting sqref="H6:H20">
    <cfRule type="cellIs" priority="1" operator="lessThan" dxfId="28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19" customWidth="1" style="82" min="1" max="1"/>
    <col width="27" customWidth="1" style="82" min="2" max="2"/>
    <col width="27" customWidth="1" style="82" min="3" max="3"/>
    <col width="94" customWidth="1" style="82" min="4" max="4"/>
    <col width="20" customWidth="1" style="82" min="5" max="5"/>
    <col width="94" customWidth="1" style="82" min="6" max="6"/>
    <col width="14" customWidth="1" style="82" min="7" max="7"/>
  </cols>
  <sheetData>
    <row r="1" ht="26" customHeight="1" s="82">
      <c r="A1" s="7" t="inlineStr">
        <is>
          <t>HISTORIAL | cambios controlados</t>
        </is>
      </c>
      <c r="B1" s="1" t="n"/>
      <c r="C1" s="1" t="n"/>
      <c r="D1" s="1" t="n"/>
      <c r="E1" s="1" t="n"/>
      <c r="F1" s="1" t="n"/>
      <c r="G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</row>
    <row r="3" ht="24" customHeight="1" s="82">
      <c r="A3" s="13" t="inlineStr">
        <is>
          <t>Cada ejecución o RFC nuevo añade una fila: fecha, ID, estado, claim, evidencia, commit.</t>
        </is>
      </c>
      <c r="B3" s="1" t="n"/>
      <c r="C3" s="1" t="n"/>
      <c r="D3" s="1" t="n"/>
      <c r="E3" s="1" t="n"/>
      <c r="F3" s="1" t="n"/>
      <c r="G3" s="1" t="n"/>
    </row>
    <row r="4" ht="9" customHeight="1" s="82"/>
    <row r="5" ht="34" customHeight="1" s="82">
      <c r="A5" s="16" t="inlineStr">
        <is>
          <t>Fecha</t>
        </is>
      </c>
      <c r="B5" s="16" t="inlineStr">
        <is>
          <t>ID / línea</t>
        </is>
      </c>
      <c r="C5" s="16" t="inlineStr">
        <is>
          <t>Tipo cambio</t>
        </is>
      </c>
      <c r="D5" s="16" t="inlineStr">
        <is>
          <t>Qué cambió</t>
        </is>
      </c>
      <c r="E5" s="16" t="inlineStr">
        <is>
          <t>Editor</t>
        </is>
      </c>
      <c r="F5" s="16" t="inlineStr">
        <is>
          <t>Evidencia / commit</t>
        </is>
      </c>
      <c r="G5" s="16" t="inlineStr">
        <is>
          <t>Versión</t>
        </is>
      </c>
    </row>
    <row r="6" ht="31" customHeight="1" s="82">
      <c r="A6" s="22" t="inlineStr">
        <is>
          <t>2026-10-18</t>
        </is>
      </c>
      <c r="B6" s="22" t="inlineStr">
        <is>
          <t>ROADMAP-MASTER-001</t>
        </is>
      </c>
      <c r="C6" s="22" t="inlineStr">
        <is>
          <t>INITIAL_CREATED</t>
        </is>
      </c>
      <c r="D6" s="22" t="inlineStr">
        <is>
          <t>Se construye inventario a partir de ramas, reports y RFCs; nada se marca PRODUCTION_READY.</t>
        </is>
      </c>
      <c r="E6" s="22" t="inlineStr">
        <is>
          <t>ChatGPT</t>
        </is>
      </c>
      <c r="F6" s="22" t="inlineStr">
        <is>
          <t>Fuentes: GitHub AI-003C eeb0bea; EDGE b17644a; EVIDENCE b7e100a; issue #14</t>
        </is>
      </c>
      <c r="G6" s="22" t="inlineStr">
        <is>
          <t>v1.0</t>
        </is>
      </c>
    </row>
    <row r="7" ht="31" customHeight="1" s="82">
      <c r="A7" s="22" t="inlineStr">
        <is>
          <t>2026-10-18</t>
        </is>
      </c>
      <c r="B7" s="22" t="inlineStr">
        <is>
          <t>AI-BOTS-003C</t>
        </is>
      </c>
      <c r="C7" s="22" t="inlineStr">
        <is>
          <t>STATE_CORRECTED</t>
        </is>
      </c>
      <c r="D7" s="22" t="inlineStr">
        <is>
          <t>Cambia de EN_CURSO a VERIFICADO_FOCAL tras observar evidencia publicada en GitHub de 459 tests y 120 checks.</t>
        </is>
      </c>
      <c r="E7" s="22" t="inlineStr">
        <is>
          <t>ChatGPT</t>
        </is>
      </c>
      <c r="F7" s="22" t="inlineStr">
        <is>
          <t>reports/ai-bots/RFC-AI-BOTS-003/BLOCK-C/FINAL_REPORT.md</t>
        </is>
      </c>
      <c r="G7" s="22" t="inlineStr">
        <is>
          <t>v1.0</t>
        </is>
      </c>
    </row>
    <row r="8" ht="31" customHeight="1" s="82">
      <c r="A8" s="22" t="inlineStr">
        <is>
          <t>2026-10-18</t>
        </is>
      </c>
      <c r="B8" s="22" t="inlineStr">
        <is>
          <t>AI-BOTS-004</t>
        </is>
      </c>
      <c r="C8" s="22" t="inlineStr">
        <is>
          <t>PLANNED</t>
        </is>
      </c>
      <c r="D8" s="22" t="inlineStr">
        <is>
          <t>Critic REA RFC-004 preparado, pero no existe branch con código; no equiparar diseño con implementación.</t>
        </is>
      </c>
      <c r="E8" s="22" t="inlineStr">
        <is>
          <t>ChatGPT</t>
        </is>
      </c>
      <c r="F8" s="22" t="inlineStr">
        <is>
          <t>https://github.com/Extr3sao/bot_crypto/issues/14</t>
        </is>
      </c>
      <c r="G8" s="22" t="inlineStr">
        <is>
          <t>v1.0</t>
        </is>
      </c>
    </row>
    <row r="9" ht="31" customHeight="1" s="82">
      <c r="A9" s="22" t="inlineStr">
        <is>
          <t>2026-10-18</t>
        </is>
      </c>
      <c r="B9" s="22" t="inlineStr">
        <is>
          <t>EVIDENCE-004F</t>
        </is>
      </c>
      <c r="C9" s="22" t="inlineStr">
        <is>
          <t>TARGETED_CLOSED</t>
        </is>
      </c>
      <c r="D9" s="22" t="inlineStr">
        <is>
          <t>Cierre focal con 42 checks / 18 mutaciones, suite global pendiente.</t>
        </is>
      </c>
      <c r="E9" s="22" t="inlineStr">
        <is>
          <t>ChatGPT</t>
        </is>
      </c>
      <c r="F9" s="22" t="inlineStr">
        <is>
          <t>https://github.com/Extr3sao/bot_crypto/issues/13</t>
        </is>
      </c>
      <c r="G9" s="22" t="inlineStr">
        <is>
          <t>v1.0</t>
        </is>
      </c>
    </row>
    <row r="10">
      <c r="A10" t="inlineStr">
        <is>
          <t>2026-10-18</t>
        </is>
      </c>
      <c r="B10" s="40" t="inlineStr">
        <is>
          <t>ROADMAP-MASTER-001</t>
        </is>
      </c>
      <c r="C10" s="40" t="inlineStr">
        <is>
          <t>REMOTE_PUBLISHED</t>
        </is>
      </c>
      <c r="D10" s="40" t="inlineStr">
        <is>
          <t>Excel y espejo JSON/CSV subidos a rama project/roadmap-trading-agentic; hash Git XLSX verificado; se prepara revisión 1.1.</t>
        </is>
      </c>
      <c r="E10" s="40" t="inlineStr">
        <is>
          <t>ChatGPT</t>
        </is>
      </c>
      <c r="F10" s="40" t="inlineStr">
        <is>
          <t>https://github.com/Extr3sao/bot_crypto/commit/5f8c7610c052cad019421041cab5b360e7befc4e</t>
        </is>
      </c>
      <c r="G10" s="40" t="inlineStr">
        <is>
          <t>v1.1</t>
        </is>
      </c>
    </row>
    <row r="11">
      <c r="A11" t="inlineStr">
        <is>
          <t>2026-10-18</t>
        </is>
      </c>
      <c r="B11" t="inlineStr">
        <is>
          <t>AI-BOTS-003C</t>
        </is>
      </c>
      <c r="C11" t="inlineStr">
        <is>
          <t>EVIDENCE_REPINNED</t>
        </is>
      </c>
      <c r="D11" t="inlineStr">
        <is>
          <t>Actualiza autoridad remota a 0841d37; series_sha256 de barras consumidas y captura con 1000 barras; 120 checks y 53 mutaciones re-verificados según informe; NO se rerun 459 tests.</t>
        </is>
      </c>
      <c r="E11" t="inlineStr">
        <is>
          <t>ChatGPT</t>
        </is>
      </c>
      <c r="F11" t="inlineStr">
        <is>
          <t>https://github.com/Extr3sao/bot_crypto/commit/0841d372cdf36e6b52b6d8ed2e02b9d4e8c23a5e</t>
        </is>
      </c>
      <c r="G11" t="inlineStr">
        <is>
          <t>v1.2</t>
        </is>
      </c>
    </row>
    <row r="12">
      <c r="A12" t="inlineStr">
        <is>
          <t>2026-10-18</t>
        </is>
      </c>
      <c r="B12" t="inlineStr">
        <is>
          <t>TAP-061</t>
        </is>
      </c>
      <c r="C12" t="inlineStr">
        <is>
          <t>USER_REPORTED_DEFECT</t>
        </is>
      </c>
      <c r="D12" t="inlineStr">
        <is>
          <t>Nuevo WP Windows: ningún proceso bash/cmd/PowerShell debe abrir ventana visible; conservar logs, errors y limpieza de hijos sin afectar procesos ajenos.</t>
        </is>
      </c>
      <c r="E12" t="inlineStr">
        <is>
          <t>ChatGPT</t>
        </is>
      </c>
      <c r="F12" t="inlineStr">
        <is>
          <t>Incidencia del usuario en esta conversación; raíz aún no comprobada</t>
        </is>
      </c>
      <c r="G12" t="inlineStr">
        <is>
          <t>v1.2</t>
        </is>
      </c>
    </row>
    <row r="13">
      <c r="A13" t="inlineStr">
        <is>
          <t>2026-10-18</t>
        </is>
      </c>
      <c r="B13" t="inlineStr">
        <is>
          <t>WP-OPS-BACKGROUND-001</t>
        </is>
      </c>
      <c r="C13" t="inlineStr">
        <is>
          <t>IMPLEMENTED_TARGETED</t>
        </is>
      </c>
      <c r="D13" t="inlineStr">
        <is>
          <t>TAP-061 corregido internamente en fe9b5e2; sin confundir pruebas estructurales con eliminación visual de popups.</t>
        </is>
      </c>
      <c r="E13" t="inlineStr">
        <is>
          <t>ChatGPT</t>
        </is>
      </c>
      <c r="F13" t="inlineStr">
        <is>
          <t>https://github.com/Extr3sao/bot_crypto/commit/fe9b5e2623b0d023833249e9687b753eaacd27d4</t>
        </is>
      </c>
      <c r="G13" t="inlineStr">
        <is>
          <t>v1.3</t>
        </is>
      </c>
    </row>
    <row r="14">
      <c r="A14" t="inlineStr">
        <is>
          <t>2026-10-18</t>
        </is>
      </c>
      <c r="B14" t="inlineStr">
        <is>
          <t>TAP-062;TAP-063</t>
        </is>
      </c>
      <c r="C14" t="inlineStr">
        <is>
          <t>EXTERNAL_AND_DEPLOYMENT_BLOCKS</t>
        </is>
      </c>
      <c r="D14" t="inlineStr">
        <is>
          <t>Separados el bloqueo externo Freebuff (windowsHide faltante) y tarea programada no activada.</t>
        </is>
      </c>
      <c r="E14" t="inlineStr">
        <is>
          <t>ChatGPT</t>
        </is>
      </c>
      <c r="F14" t="inlineStr">
        <is>
          <t>https://github.com/Extr3sao/bot_crypto/blob/agent/ai-bots/RFC-TAP-AI-BOTS-003/docs/runtime/WINDOWLESS_EXECUTION.md</t>
        </is>
      </c>
      <c r="G14" t="inlineStr">
        <is>
          <t>v1.3</t>
        </is>
      </c>
    </row>
    <row r="15">
      <c r="A15" t="inlineStr">
        <is>
          <t>2026-10-18</t>
        </is>
      </c>
      <c r="B15" t="inlineStr">
        <is>
          <t>RFC-TAP-MARKET-005</t>
        </is>
      </c>
      <c r="C15" t="inlineStr">
        <is>
          <t>PROPOSED_REGISTERED</t>
        </is>
      </c>
      <c r="D15" t="inlineStr">
        <is>
          <t>Se añaden TAP-064..071, BL-16/17; separar descargas de precios del proveedor IA; ninguna task tocada.</t>
        </is>
      </c>
      <c r="E15" t="inlineStr">
        <is>
          <t>ChatGPT</t>
        </is>
      </c>
      <c r="F15" t="inlineStr">
        <is>
          <t>https://github.com/Extr3sao/bot_crypto/issues/16</t>
        </is>
      </c>
      <c r="G15" t="inlineStr">
        <is>
          <t>v1.4</t>
        </is>
      </c>
    </row>
    <row r="16">
      <c r="A16" t="inlineStr">
        <is>
          <t>2026-10-18</t>
        </is>
      </c>
      <c r="B16" t="inlineStr">
        <is>
          <t>RFC-TAP-MARKET-005</t>
        </is>
      </c>
      <c r="C16" t="inlineStr">
        <is>
          <t>IMPLEMENTED_OFFLINE</t>
        </is>
      </c>
      <c r="D16" t="inlineStr">
        <is>
          <t>WP-005A..G ejecutados: lector incremental (-88,32% peticiones, -98,90% velas, 12/12 ventanas idénticas), snapshot PIT causal y gate IA con 0 llamadas; host intacto y WP-005H bloqueado por autorización.</t>
        </is>
      </c>
      <c r="E16" t="inlineStr">
        <is>
          <t>Codebuff</t>
        </is>
      </c>
      <c r="F16" t="inlineStr">
        <is>
          <t>c6bb431 / reports/market-data/RFC-TAP-MARKET-005</t>
        </is>
      </c>
      <c r="G16" t="inlineStr">
        <is>
          <t>v1.5</t>
        </is>
      </c>
    </row>
    <row r="17">
      <c r="A17" t="inlineStr">
        <is>
          <t>2026-10-25</t>
        </is>
      </c>
      <c r="B17" t="inlineStr">
        <is>
          <t>ROADMAP-MASTER-001</t>
        </is>
      </c>
      <c r="C17" t="inlineStr">
        <is>
          <t>LOCAL_GITHUB_SYNC</t>
        </is>
      </c>
      <c r="D17" t="inlineStr">
        <is>
          <t>Auditoría y publicación completas: 0 commits locales sin publicar, 18 ramas con SHA local == remoto, 17 PR draft #19-#35, respaldo SHA-256 previo. main no se forzó; TAP-072..076 añadidas.</t>
        </is>
      </c>
      <c r="E17" t="inlineStr">
        <is>
          <t>Codebuff</t>
        </is>
      </c>
      <c r="F17" t="inlineStr">
        <is>
          <t>https://github.com/Extr3sao/bot_crypto / 5b63f265 / LOCAL_GITHUB_SYNC_AUDIT.md</t>
        </is>
      </c>
      <c r="G17" t="inlineStr">
        <is>
          <t>v1.6</t>
        </is>
      </c>
    </row>
  </sheetData>
  <mergeCells count="2">
    <mergeCell ref="A3:G3"/>
    <mergeCell ref="A1:G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31" customWidth="1" style="82" min="1" max="1"/>
    <col width="115" customWidth="1" style="82" min="2" max="2"/>
  </cols>
  <sheetData>
    <row r="1" ht="26" customHeight="1" s="82">
      <c r="A1" s="7" t="inlineStr">
        <is>
          <t>CÓMO MANTENER ESTE ROADMAP VIVO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</row>
    <row r="3" ht="24" customHeight="1" s="82">
      <c r="A3" s="13" t="inlineStr">
        <is>
          <t>Excel de seguimiento + JSON canónico versionable en GitHub. No se actualiza por arte de magia entre sesiones.</t>
        </is>
      </c>
      <c r="B3" s="1" t="n"/>
      <c r="C3" s="1" t="n"/>
      <c r="D3" s="1" t="n"/>
      <c r="E3" s="1" t="n"/>
      <c r="F3" s="1" t="n"/>
      <c r="G3" s="1" t="n"/>
      <c r="H3" s="1" t="n"/>
    </row>
    <row r="4" ht="9" customHeight="1" s="82"/>
    <row r="6" ht="35" customHeight="1" s="82">
      <c r="A6" s="35" t="inlineStr">
        <is>
          <t>1. Fuente de verdad</t>
        </is>
      </c>
      <c r="B6" s="22" t="inlineStr">
        <is>
          <t>Consultar primero GitHub HEAD/branches y reportes RUN_REPORT.json, FINAL_REPORT.md, EVIDENCE, suite real. No inferir estado por el último prompt.</t>
        </is>
      </c>
    </row>
    <row r="7" ht="35" customHeight="1" s="82">
      <c r="A7" s="35" t="inlineStr">
        <is>
          <t>2. Actualizar un WP</t>
        </is>
      </c>
      <c r="B7" s="22" t="inlineStr">
        <is>
          <t>Buscar ID estable TAP-xxx en ROADMAP; ajustar Estado, avance, última revisión, commit, URL, bloqueo, acción y gate; mantener el mismo ID.</t>
        </is>
      </c>
    </row>
    <row r="8" ht="35" customHeight="1" s="82">
      <c r="A8" s="35" t="inlineStr">
        <is>
          <t>3. Evidencia</t>
        </is>
      </c>
      <c r="B8" s="22" t="inlineStr">
        <is>
          <t>Añadir fila en EVIDENCIAS con cifras (incluidos negativos/FAIL), tipo (MOCK/REAL/PROSPECTIVE), dataset y URI exacta.</t>
        </is>
      </c>
    </row>
    <row r="9" ht="35" customHeight="1" s="82">
      <c r="A9" s="35" t="inlineStr">
        <is>
          <t>4. Recalcular fases</t>
        </is>
      </c>
      <c r="B9" s="22" t="inlineStr">
        <is>
          <t>Revisar FASES y RFC_Y_WP solo tras comprobar la ejecución; no promocionar fases con documentación sin runtime.</t>
        </is>
      </c>
    </row>
    <row r="10" ht="35" customHeight="1" s="82">
      <c r="A10" s="35" t="inlineStr">
        <is>
          <t>5. Mantener historial</t>
        </is>
      </c>
      <c r="B10" s="22" t="inlineStr">
        <is>
          <t>Añadir una fila HISTORIAL por cambio de estado significativo; nunca borrar entradas anteriores.</t>
        </is>
      </c>
    </row>
    <row r="11" ht="35" customHeight="1" s="82">
      <c r="A11" s="35" t="inlineStr">
        <is>
          <t>6. Bloqueos</t>
        </is>
      </c>
      <c r="B11" s="22" t="inlineStr">
        <is>
          <t>Si la dependencia sigue pendiente, mantener BLOQUEADO y enlazar la causa; que CI PASS focal no parezca global.</t>
        </is>
      </c>
    </row>
    <row r="12" ht="35" customHeight="1" s="82">
      <c r="A12" s="35" t="inlineStr">
        <is>
          <t>7. Publicar</t>
        </is>
      </c>
      <c r="B12" s="22" t="inlineStr">
        <is>
          <t>Guardar versión Excel y ROADMAP_MASTER_DATA.json en rama project/roadmap. Pull/merge solo después de comprobar conflictos y SHA; no tocar ramas de Codex.</t>
        </is>
      </c>
    </row>
    <row r="13" ht="35" customHeight="1" s="82">
      <c r="A13" s="35" t="inlineStr">
        <is>
          <t>8. Automatización</t>
        </is>
      </c>
      <c r="B13" s="22" t="inlineStr">
        <is>
          <t>Al pegarme un reporte nuevo o pedir actualizar roadmap, compararé commit remoto, revisaré evidencias y generaré revisión nueva del Excel; sin petición no puedo garantizar updates automáticos.</t>
        </is>
      </c>
    </row>
    <row r="14" ht="35" customHeight="1" s="82">
      <c r="A14" s="35" t="inlineStr">
        <is>
          <t>9. Validación</t>
        </is>
      </c>
      <c r="B14" s="22" t="inlineStr">
        <is>
          <t>NO_CERTIFIED hasta ARCHITECTURE + IMPLEMENTATION + RUNTIME_REACHABLE + EXEC + INDEPENDENT_VERIFIER + EVIDENCE.</t>
        </is>
      </c>
    </row>
    <row r="15" ht="35" customHeight="1" s="82">
      <c r="A15" s="35" t="inlineStr">
        <is>
          <t>10. Estado implementado</t>
        </is>
      </c>
      <c r="B15" s="22" t="inlineStr">
        <is>
          <t>IMPLEMENTADO indica código presente. VERIFICADO_FOCAL implica tests/report específicos, nunca automáticamente RELEASE o PROD.</t>
        </is>
      </c>
    </row>
    <row r="16" ht="35" customHeight="1" s="82">
      <c r="A16" s="35" t="inlineStr">
        <is>
          <t>11. Fechas</t>
        </is>
      </c>
      <c r="B16" s="22" t="inlineStr">
        <is>
          <t>Fecha objetivo en blanco = no comprometida; no estimar fecha de rentabilidad sin datos. Prioridades/orden sí están definidos.</t>
        </is>
      </c>
    </row>
    <row r="17" ht="35" customHeight="1" s="82">
      <c r="A17" s="35" t="inlineStr">
        <is>
          <t>12. Live / riesgos</t>
        </is>
      </c>
      <c r="B17" s="22" t="inlineStr">
        <is>
          <t>No tocar credenciales, riesgo, leverage, capital ni operaciones reales sin aprobación expresa. PAPER/SHADOW permitido.</t>
        </is>
      </c>
    </row>
    <row r="18" ht="35" customHeight="1" s="82">
      <c r="A18" s="35" t="inlineStr">
        <is>
          <t>13. Rentabilidad</t>
        </is>
      </c>
      <c r="B18" s="22" t="inlineStr">
        <is>
          <t>Métricas mínimas: PnL neto, expectancy, Sharpe con muestra, DD, costes, frecuencia diaria, OOS y comparación CASH/baseline.</t>
        </is>
      </c>
    </row>
    <row r="19" ht="35" customHeight="1" s="82">
      <c r="A19" s="35" t="inlineStr">
        <is>
          <t>14. Objetivo ACTIVE</t>
        </is>
      </c>
      <c r="B19" s="22" t="inlineStr">
        <is>
          <t>Objetivo orientativo &gt;=3 fills ejecutados cada día cripto (7d) sin forzar trades, política actual weekend=false; QUALITY separada baja frecuencia.</t>
        </is>
      </c>
    </row>
    <row r="20" ht="35" customHeight="1" s="82">
      <c r="A20" s="35" t="inlineStr">
        <is>
          <t>15. Checkpoint</t>
        </is>
      </c>
      <c r="B20" s="22" t="inlineStr">
        <is>
          <t>Conservar corte: 18/10/2026; AI branch eeb0bea; EVID branch b7e100a; EDGE branch b17644a; main 5e6f963.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" customWidth="1" style="82" min="1" max="1"/>
    <col width="26" customWidth="1" style="82" min="2" max="2"/>
    <col width="69" customWidth="1" style="82" min="3" max="3"/>
    <col width="26" customWidth="1" style="82" min="4" max="4"/>
    <col width="43" customWidth="1" style="82" min="5" max="5"/>
    <col width="19" customWidth="1" style="82" min="6" max="6"/>
    <col width="4" customWidth="1" style="82" min="7" max="7"/>
    <col width="25" customWidth="1" style="82" min="8" max="8"/>
    <col width="18" customWidth="1" style="82" min="9" max="9"/>
    <col width="4" customWidth="1" style="82" min="10" max="10"/>
    <col width="24" customWidth="1" style="82" min="11" max="11"/>
    <col width="14" customWidth="1" style="82" min="12" max="12"/>
    <col width="15" customWidth="1" style="82" min="13" max="13"/>
    <col width="15" customWidth="1" style="82" min="14" max="14"/>
    <col width="13" customWidth="1" style="82" min="15" max="15"/>
    <col width="13" customWidth="1" style="82" min="16" max="16"/>
  </cols>
  <sheetData>
    <row r="1" ht="26" customHeight="1" s="82">
      <c r="A1" s="7" t="inlineStr">
        <is>
          <t>TRADING AGENTIC PORTABLE  |  ROADMAP EJECUTIVO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 s="8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24" customHeight="1" s="82">
      <c r="A3" s="13" t="inlineStr">
        <is>
          <t>Corte GitHub: 2026-10-25 · v1.6 · 18 ramas publicadas, 17 PR draft · origin/main 263 commits atrás · sin IA real ni rentabilidad demostrada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9" customHeight="1" s="82"/>
    <row r="5" ht="25" customHeight="1" s="82">
      <c r="B5" s="45" t="inlineStr">
        <is>
          <t>ITEMS TOTALES</t>
        </is>
      </c>
      <c r="C5" s="1" t="n"/>
      <c r="E5" s="45" t="inlineStr">
        <is>
          <t>VERIFICADO FOCAL</t>
        </is>
      </c>
      <c r="F5" s="1" t="n"/>
      <c r="H5" s="45" t="inlineStr">
        <is>
          <t>PENDIENTE + BLOQUEADO</t>
        </is>
      </c>
      <c r="I5" s="1" t="n"/>
      <c r="K5" s="45" t="inlineStr">
        <is>
          <t>MODELOS REALES</t>
        </is>
      </c>
      <c r="L5" s="1" t="n"/>
    </row>
    <row r="6" ht="23" customHeight="1" s="82">
      <c r="B6" s="51">
        <f>COUNTA(ROADMAP!$A$6:$A$81)</f>
        <v/>
      </c>
      <c r="C6" s="1" t="n"/>
      <c r="E6" s="51">
        <f>COUNTIF(ROADMAP!$F$6:$F$81,"VERIFICADO_FOCAL")</f>
        <v/>
      </c>
      <c r="F6" s="1" t="n"/>
      <c r="H6" s="51">
        <f>COUNTIF(ROADMAP!$F$6:$F$81,"PENDIENTE")+COUNTIF(ROADMAP!$F$6:$F$81,"BLOQUEADO")</f>
        <v/>
      </c>
      <c r="I6" s="1" t="n"/>
      <c r="K6" s="51">
        <f>0</f>
        <v/>
      </c>
      <c r="L6" s="1" t="n"/>
    </row>
    <row r="7" ht="23" customHeight="1" s="82">
      <c r="B7" s="1" t="n"/>
      <c r="C7" s="1" t="n"/>
      <c r="E7" s="1" t="n"/>
      <c r="F7" s="1" t="n"/>
      <c r="H7" s="1" t="n"/>
      <c r="I7" s="1" t="n"/>
      <c r="K7" s="1" t="n"/>
      <c r="L7" s="1" t="n"/>
    </row>
    <row r="8"/>
    <row r="9"/>
    <row r="10" ht="28" customHeight="1" s="82">
      <c r="B10" s="53" t="inlineStr">
        <is>
          <t>PRÓXIMOS PASOS CRÍTICOS</t>
        </is>
      </c>
      <c r="C10" s="1" t="n"/>
      <c r="D10" s="1" t="n"/>
      <c r="E10" s="1" t="n"/>
      <c r="F10" s="1" t="n"/>
      <c r="G10" s="1" t="n"/>
      <c r="H10" s="1" t="n"/>
      <c r="I10" s="1" t="n"/>
      <c r="K10" s="53" t="inlineStr">
        <is>
          <t>DISTRIBUCIÓN DE ESTADOS</t>
        </is>
      </c>
      <c r="L10" s="1" t="n"/>
      <c r="M10" s="1" t="n"/>
      <c r="N10" s="1" t="n"/>
      <c r="O10" s="1" t="n"/>
      <c r="P10" s="1" t="n"/>
    </row>
    <row r="11" ht="25" customHeight="1" s="82">
      <c r="B11" s="55" t="inlineStr">
        <is>
          <t>P0 · 01</t>
        </is>
      </c>
      <c r="C11" s="22" t="inlineStr">
        <is>
          <t>Identificar proceso/tarea que descarga velas</t>
        </is>
      </c>
      <c r="D11" s="22" t="inlineStr">
        <is>
          <t>TAP-064/065</t>
        </is>
      </c>
      <c r="E11" s="22" t="inlineStr">
        <is>
          <t>Sin atribución no se desactiva nada</t>
        </is>
      </c>
      <c r="K11" s="62" t="inlineStr">
        <is>
          <t>VERIFICADO_FOCAL</t>
        </is>
      </c>
      <c r="L11" s="85">
        <f>COUNTIF(ROADMAP!$F$6:$F$81,K11)</f>
        <v/>
      </c>
    </row>
    <row r="12" ht="25" customHeight="1" s="82">
      <c r="B12" s="55" t="inlineStr">
        <is>
          <t>P0 · 02</t>
        </is>
      </c>
      <c r="C12" s="22" t="inlineStr">
        <is>
          <t>Datos incrementales y snapshots PIT</t>
        </is>
      </c>
      <c r="D12" s="22" t="inlineStr">
        <is>
          <t>TAP-066/067</t>
        </is>
      </c>
      <c r="E12" s="22" t="inlineStr">
        <is>
          <t>Bootstrapping once; no futuras HTF</t>
        </is>
      </c>
      <c r="K12" s="64" t="inlineStr">
        <is>
          <t>IMPLEMENTADO</t>
        </is>
      </c>
      <c r="L12" s="85">
        <f>COUNTIF(ROADMAP!$F$6:$F$81,K12)</f>
        <v/>
      </c>
    </row>
    <row r="13" ht="25" customHeight="1" s="82">
      <c r="B13" s="55" t="inlineStr">
        <is>
          <t>P0 · 03</t>
        </is>
      </c>
      <c r="C13" s="22" t="inlineStr">
        <is>
          <t>Proveedor IA offline + receipts</t>
        </is>
      </c>
      <c r="D13" s="22" t="inlineStr">
        <is>
          <t>TAP-023 / 068</t>
        </is>
      </c>
      <c r="E13" s="22" t="inlineStr">
        <is>
          <t>Sin clave/coste → 0 llamadas</t>
        </is>
      </c>
      <c r="K13" s="66" t="inlineStr">
        <is>
          <t>EN_CURSO</t>
        </is>
      </c>
      <c r="L13" s="85">
        <f>COUNTIF(ROADMAP!$F$6:$F$81,K13)</f>
        <v/>
      </c>
    </row>
    <row r="14" ht="25" customHeight="1" s="82">
      <c r="B14" s="55" t="inlineStr">
        <is>
          <t>P0 · 04</t>
        </is>
      </c>
      <c r="C14" s="22" t="inlineStr">
        <is>
          <t>Feed prospectivo y continuidad</t>
        </is>
      </c>
      <c r="D14" s="22" t="inlineStr">
        <is>
          <t>TAP-024/049</t>
        </is>
      </c>
      <c r="E14" s="22" t="inlineStr">
        <is>
          <t>1m/quotes; datos observables</t>
        </is>
      </c>
      <c r="K14" s="68" t="inlineStr">
        <is>
          <t>PENDIENTE</t>
        </is>
      </c>
      <c r="L14" s="85">
        <f>COUNTIF(ROADMAP!$F$6:$F$81,K14)</f>
        <v/>
      </c>
    </row>
    <row r="15" ht="25" customHeight="1" s="82">
      <c r="B15" s="55" t="inlineStr">
        <is>
          <t>P0 · 05</t>
        </is>
      </c>
      <c r="C15" s="22" t="inlineStr">
        <is>
          <t>Resolver CI full y gate PAPER</t>
        </is>
      </c>
      <c r="D15" s="22" t="inlineStr">
        <is>
          <t>TAP-048 / 035</t>
        </is>
      </c>
      <c r="E15" s="22" t="inlineStr">
        <is>
          <t>No saltar admisión ni 14 FAIL históricos</t>
        </is>
      </c>
      <c r="K15" s="70" t="inlineStr">
        <is>
          <t>PLANIFICADO</t>
        </is>
      </c>
      <c r="L15" s="85">
        <f>COUNTIF(ROADMAP!$F$6:$F$81,K15)</f>
        <v/>
      </c>
    </row>
    <row r="16" ht="25" customHeight="1" s="82">
      <c r="B16" s="55" t="inlineStr">
        <is>
          <t>GATE · 06</t>
        </is>
      </c>
      <c r="C16" s="22" t="inlineStr">
        <is>
          <t>1 llamada multimodal real (tras autorización)</t>
        </is>
      </c>
      <c r="D16" s="22" t="inlineStr">
        <is>
          <t>TAP-025</t>
        </is>
      </c>
      <c r="E16" s="22" t="inlineStr">
        <is>
          <t>REAL_MODEL_CALLED=false</t>
        </is>
      </c>
      <c r="K16" s="72" t="inlineStr">
        <is>
          <t>PROPUESTO</t>
        </is>
      </c>
      <c r="L16" s="85">
        <f>COUNTIF(ROADMAP!$F$6:$F$81,K16)</f>
        <v/>
      </c>
    </row>
    <row r="17" ht="25" customHeight="1" s="82">
      <c r="B17" s="55" t="inlineStr">
        <is>
          <t>GATE · 07</t>
        </is>
      </c>
      <c r="C17" s="22" t="inlineStr">
        <is>
          <t>A/B prospectivo y beneficio neto</t>
        </is>
      </c>
      <c r="D17" s="22" t="inlineStr">
        <is>
          <t>TAP-026 / TAP-058</t>
        </is>
      </c>
      <c r="E17" s="22" t="inlineStr">
        <is>
          <t>No edge probado</t>
        </is>
      </c>
      <c r="K17" s="74" t="inlineStr">
        <is>
          <t>BLOQUEADO</t>
        </is>
      </c>
      <c r="L17" s="85">
        <f>COUNTIF(ROADMAP!$F$6:$F$81,K17)</f>
        <v/>
      </c>
    </row>
    <row r="18" ht="25" customHeight="1" s="82">
      <c r="K18" s="76" t="inlineStr">
        <is>
          <t>RECHAZADO</t>
        </is>
      </c>
      <c r="L18" s="85">
        <f>COUNTIF(ROADMAP!$F$6:$F$81,K18)</f>
        <v/>
      </c>
    </row>
    <row r="19"/>
    <row r="20" ht="28" customHeight="1" s="82">
      <c r="B20" s="53" t="inlineStr">
        <is>
          <t>ESTADO ECONÓMICO Y GATES</t>
        </is>
      </c>
      <c r="C20" s="1" t="n"/>
      <c r="D20" s="1" t="n"/>
      <c r="E20" s="1" t="n"/>
      <c r="F20" s="1" t="n"/>
      <c r="G20" s="1" t="n"/>
      <c r="H20" s="1" t="n"/>
      <c r="I20" s="1" t="n"/>
    </row>
    <row r="21" ht="30" customHeight="1" s="82">
      <c r="B21" s="35" t="inlineStr">
        <is>
          <t>EDGE-017F · 1× histórico</t>
        </is>
      </c>
      <c r="C21" s="22" t="inlineStr">
        <is>
          <t>-238,770489 USDT, 146 fills; no edge</t>
        </is>
      </c>
    </row>
    <row r="22" ht="30" customHeight="1" s="82">
      <c r="B22" s="35" t="inlineStr">
        <is>
          <t>BOT-VIS y BOT-CTX · mock 003B</t>
        </is>
      </c>
      <c r="C22" s="22" t="inlineStr">
        <is>
          <t>-15,680073 USDT cada uno; script ignora prompt</t>
        </is>
      </c>
    </row>
    <row r="23" ht="30" customHeight="1" s="82">
      <c r="B23" s="35" t="inlineStr">
        <is>
          <t>AI-003C · 900ms declarados</t>
        </is>
      </c>
      <c r="C23" s="22" t="inlineStr">
        <is>
          <t>-97,926767 USDT, 34 fills replay; no IA real</t>
        </is>
      </c>
    </row>
    <row r="24" ht="30" customHeight="1" s="82">
      <c r="B24" s="35" t="inlineStr">
        <is>
          <t>Modelo multimodal real</t>
        </is>
      </c>
      <c r="C24" s="22" t="inlineStr">
        <is>
          <t>0 llamadas verificadas; credencial + coste pendientes</t>
        </is>
      </c>
    </row>
    <row r="25" ht="30" customHeight="1" s="82">
      <c r="B25" s="35" t="inlineStr">
        <is>
          <t>Paper prospectivo / OOS</t>
        </is>
      </c>
      <c r="C25" s="22" t="inlineStr">
        <is>
          <t>No certificado; no clasificar mock como beneficio</t>
        </is>
      </c>
    </row>
    <row r="26" ht="30" customHeight="1" s="82">
      <c r="B26" s="35" t="inlineStr">
        <is>
          <t>Meta de rentabilidad</t>
        </is>
      </c>
      <c r="C26" s="22" t="inlineStr">
        <is>
          <t>NO DEMOSTRADA; primero edge positivo OOS neto</t>
        </is>
      </c>
    </row>
    <row r="27" ht="30" customHeight="1" s="82">
      <c r="B27" s="35" t="inlineStr">
        <is>
          <t>Operativa 7/7</t>
        </is>
      </c>
      <c r="C27" s="22" t="inlineStr">
        <is>
          <t>Objetivo ACTIVE, pero weekend_trading=false</t>
        </is>
      </c>
    </row>
    <row r="28"/>
    <row r="29"/>
    <row r="30"/>
    <row r="31">
      <c r="B31" s="86" t="inlineStr">
        <is>
          <t>AUTORIDAD: REAL_RUNTIME &gt; EXECUTION_EVIDENCE &gt; TESTS &gt; SOURCE_CODE &gt; ARCH/RFC &gt; EXTERNAL_SOURCE &gt; ASSUMPTION.  FALSE_SUCCESS=0  |  BUILDER != VERIFIER  |  TEST_TARGET == RUNTIME_TARGET.</t>
        </is>
      </c>
      <c r="C31" s="1" t="n"/>
      <c r="D31" s="1" t="n"/>
      <c r="E31" s="1" t="n"/>
      <c r="F31" s="1" t="n"/>
      <c r="G31" s="1" t="n"/>
      <c r="H31" s="1" t="n"/>
      <c r="I31" s="1" t="n"/>
    </row>
    <row r="32">
      <c r="B32" s="1" t="n"/>
      <c r="I32" s="1" t="n"/>
    </row>
    <row r="33">
      <c r="B33" s="1" t="n"/>
      <c r="C33" s="1" t="n"/>
      <c r="D33" s="1" t="n"/>
      <c r="E33" s="1" t="n"/>
      <c r="F33" s="1" t="n"/>
      <c r="G33" s="1" t="n"/>
      <c r="H33" s="1" t="n"/>
      <c r="I33" s="1" t="n"/>
    </row>
  </sheetData>
  <mergeCells count="14">
    <mergeCell ref="E6:F7"/>
    <mergeCell ref="H6:I7"/>
    <mergeCell ref="B5:C5"/>
    <mergeCell ref="A1:P2"/>
    <mergeCell ref="K6:L7"/>
    <mergeCell ref="B20:I20"/>
    <mergeCell ref="B10:I10"/>
    <mergeCell ref="K10:P10"/>
    <mergeCell ref="E5:F5"/>
    <mergeCell ref="K5:L5"/>
    <mergeCell ref="B6:C7"/>
    <mergeCell ref="H5:I5"/>
    <mergeCell ref="A3:P3"/>
    <mergeCell ref="B31:I3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2026-10-18T19:56:46Z</dcterms:created>
  <dcterms:modified xsi:type="dcterms:W3CDTF">2026-10-25T19:24:49Z</dcterms:modified>
</cp:coreProperties>
</file>